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27C91D15-CC1C-444F-A7BE-6E8D44498FB8}" xr6:coauthVersionLast="47" xr6:coauthVersionMax="47" xr10:uidLastSave="{00000000-0000-0000-0000-000000000000}"/>
  <bookViews>
    <workbookView xWindow="-108" yWindow="-108" windowWidth="23256" windowHeight="12456" xr2:uid="{00000000-000D-0000-FFFF-FFFF00000000}"/>
  </bookViews>
  <sheets>
    <sheet name="PI" sheetId="9" r:id="rId1"/>
    <sheet name="contract" sheetId="8" state="hidden" r:id="rId2"/>
  </sheets>
  <definedNames>
    <definedName name="_xlnm.Print_Area" localSheetId="1">contract!$A1:$G57</definedName>
    <definedName name="_xlnm.Print_Area" localSheetId="0">PI!$A1:$H37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2" i="8" l="1"/>
  <c r="A52" i="8"/>
  <c r="E19" i="8"/>
  <c r="G18" i="8"/>
  <c r="G17" i="8"/>
  <c r="G16" i="8"/>
  <c r="G15" i="8"/>
  <c r="G14" i="8"/>
  <c r="G13" i="8"/>
  <c r="G19" i="8" s="1"/>
  <c r="H17" i="9"/>
</calcChain>
</file>

<file path=xl/sharedStrings.xml><?xml version="1.0" encoding="utf-8"?>
<sst xmlns="http://schemas.openxmlformats.org/spreadsheetml/2006/main" count="135" uniqueCount="120">
  <si>
    <t>PROFORMA INVOICE</t>
  </si>
  <si>
    <t>Chongqing Alustars International Co.,Ltd.</t>
  </si>
  <si>
    <t xml:space="preserve">Supplier ID </t>
  </si>
  <si>
    <t>3434</t>
  </si>
  <si>
    <t xml:space="preserve"> VAT 91500109MADTT20C92</t>
  </si>
  <si>
    <t>PO No.</t>
  </si>
  <si>
    <t>443</t>
  </si>
  <si>
    <t xml:space="preserve"> </t>
  </si>
  <si>
    <t xml:space="preserve"> www.alustars.com</t>
  </si>
  <si>
    <t>Invoice No.</t>
  </si>
  <si>
    <t>A2604004</t>
  </si>
  <si>
    <t>Date:</t>
  </si>
  <si>
    <t>Apr 27, 2026</t>
  </si>
  <si>
    <t xml:space="preserve">TO: </t>
  </si>
  <si>
    <t>E2E Test Customer Inc. 2026</t>
  </si>
  <si>
    <t>Add.</t>
  </si>
  <si>
    <t>456 E2E Test Avenue, Los Angeles, CA 90001, USA</t>
  </si>
  <si>
    <t>NIF:</t>
  </si>
  <si>
    <t>US-E2E-2026-001</t>
  </si>
  <si>
    <t>No.</t>
  </si>
  <si>
    <t>Part Number</t>
  </si>
  <si>
    <t>Description</t>
  </si>
  <si>
    <t>Quantity</t>
  </si>
  <si>
    <t>Unit</t>
  </si>
  <si>
    <t>Unit Price</t>
  </si>
  <si>
    <t>Amount</t>
  </si>
  <si>
    <t>PRD-2026-0001</t>
  </si>
  <si>
    <t>地秀秀</t>
  </si>
  <si>
    <t>pcs</t>
  </si>
  <si>
    <t>50655MKT_D002</t>
  </si>
  <si>
    <t>HOLDER,R_L</t>
  </si>
  <si>
    <t>PCS</t>
  </si>
  <si>
    <t>999</t>
  </si>
  <si>
    <t>ooo</t>
  </si>
  <si>
    <t xml:space="preserve">Tooling </t>
  </si>
  <si>
    <t>SET</t>
  </si>
  <si>
    <t>TOTAL</t>
  </si>
  <si>
    <t>Terms and Conditions</t>
  </si>
  <si>
    <t xml:space="preserve">    Payment Term:</t>
  </si>
  <si>
    <t>TT_30_70</t>
  </si>
  <si>
    <t xml:space="preserve">    Price Term:</t>
  </si>
  <si>
    <t>FOB</t>
  </si>
  <si>
    <t xml:space="preserve">    Country of Origin:</t>
  </si>
  <si>
    <t>CN</t>
  </si>
  <si>
    <t xml:space="preserve">    Country of Destination:</t>
  </si>
  <si>
    <t/>
  </si>
  <si>
    <t xml:space="preserve">    Port of Loading:</t>
  </si>
  <si>
    <t>Ningbo</t>
  </si>
  <si>
    <t xml:space="preserve">    Port of Discharge:</t>
  </si>
  <si>
    <t>Long Beach</t>
  </si>
  <si>
    <t xml:space="preserve">    Mode of Shipment:</t>
  </si>
  <si>
    <t>Air (FedEx)</t>
  </si>
  <si>
    <t xml:space="preserve">    Time of Delivery</t>
  </si>
  <si>
    <t>Remittance Instructions</t>
  </si>
  <si>
    <t>1. BENEFICIARY NAME: CHONGQING ALUSTARS INTERNATIONAL CO.,LTD</t>
  </si>
  <si>
    <t>2. ACCOUNT NUMBER: 123917886435000</t>
  </si>
  <si>
    <t>3. BENEFICIARY BANK: China Merchants Bank, Chongqing Branch</t>
  </si>
  <si>
    <t>4. SWIFT CODE: CMBCCNBS245</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</si>
  <si>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</si>
  <si>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</si>
  <si>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</si>
  <si>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</si>
  <si>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</si>
  <si>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</si>
  <si>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</si>
  <si>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</si>
  <si>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</si>
  <si>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</si>
  <si>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</si>
  <si>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</si>
  <si>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</si>
  <si>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</si>
  <si>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</si>
  <si>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</si>
  <si>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</si>
  <si>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No.194, Jiarui Avenue,Beibei District, Chongqing 400707,China
TAX ID 91500109MADTT20C93</t>
  </si>
  <si>
    <t xml:space="preserve">THE BUYER: </t>
  </si>
  <si>
    <t>Montesa Honda, S.A.U.</t>
  </si>
  <si>
    <t>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</si>
  <si>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</si>
  <si>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</si>
  <si>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</si>
  <si>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</si>
  <si>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</si>
  <si>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</si>
  <si>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</si>
  <si>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</si>
  <si>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</si>
  <si>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</si>
  <si>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</si>
  <si>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</si>
  <si>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</si>
  <si>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</si>
  <si>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</si>
  <si>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</si>
  <si>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</si>
  <si>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</si>
  <si>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</si>
  <si>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</si>
  <si>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</si>
  <si>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</si>
  <si>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</si>
  <si>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</si>
  <si>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</si>
  <si>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</si>
  <si>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</si>
  <si>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</si>
  <si>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</si>
  <si>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</si>
  <si>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sz val="10"/>
        <rFont val="Univers"/>
        <family val="2"/>
      </rPr>
      <t xml:space="preserve">Pre-shipment Inspection: </t>
    </r>
    <r>
      <rPr>
        <sz val="10"/>
        <rFont val="Univers"/>
        <family val="2"/>
      </rPr>
      <t>the goods will be inspected by the Seller and sumbmit qualified inspection report.</t>
    </r>
  </si>
  <si>
    <r>
      <rPr>
        <b/>
        <sz val="10"/>
        <rFont val="Univers"/>
        <family val="2"/>
      </rPr>
      <t>Post-delivery Inspection:</t>
    </r>
    <r>
      <rPr>
        <sz val="10"/>
        <rFont val="Univers"/>
        <family val="2"/>
      </rPr>
      <t xml:space="preserve"> the Buyer shall have the right to inspect the goods upon arrival. Any claim for quality discrepancy must be made within 30 days of delivery, supported by a survey report issued by a reputable inspction agency.</t>
    </r>
  </si>
  <si>
    <t>7. Delivery Address</t>
  </si>
  <si>
    <t>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</si>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</sst>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76" formatCode="_ * #,##0_ ;_ * \-#,##0_ ;_ * &quot;-&quot;??_ ;_ @_ "/>
    <numFmt numFmtId="177" formatCode="yyyy\-mm\-dd;@"/>
    <numFmt numFmtId="178" formatCode="#&quot;-MKTD000&quot;"/>
    <numFmt numFmtId="179" formatCode="#,##0_ "/>
    <numFmt numFmtId="180" formatCode="#,##0.0000_ "/>
    <numFmt numFmtId="181" formatCode="#,##0.00_ "/>
    <numFmt numFmtId="182" formatCode="[$EUR]\ #,##0.00;[Red][$EUR]\ #,##0.00"/>
    <numFmt numFmtId="183" formatCode="&quot;US$&quot;#,##0.00;\-&quot;US$&quot;#,##0.00"/>
    <numFmt numFmtId="184" formatCode="_ * #,##0.00000_ ;_ * \-#,##0.00000_ ;_ * &quot;-&quot;??.000_ ;_ @_ "/>
    <numFmt numFmtId="185" formatCode="_ * #,##0.0000_ ;_ * \-#,##0.0000_ ;_ * &quot;-&quot;??.00_ ;_ @_ "/>
    <numFmt numFmtId="186" formatCode="_ * #,##0.000_ ;_ * \-#,##0.000_ ;_ * &quot;-&quot;??.0_ ;_ @_ "/>
  </numFmts>
  <fonts count="26">
    <font>
      <sz val="11"/>
      <color theme="1"/>
      <name val="宋体"/>
      <family val="2"/>
      <scheme val="minor"/>
    </font>
    <font>
      <sz val="12"/>
      <name val="Calibri"/>
      <family val="2"/>
    </font>
    <font>
      <b/>
      <sz val="16"/>
      <name val="Calibri"/>
      <family val="2"/>
    </font>
    <font>
      <b/>
      <sz val="23"/>
      <name val="Calibri"/>
      <family val="2"/>
    </font>
    <font>
      <sz val="16"/>
      <name val="Calibri"/>
      <family val="2"/>
    </font>
    <font>
      <sz val="11"/>
      <name val="Calibri"/>
      <family val="2"/>
    </font>
    <font>
      <sz val="16"/>
      <color theme="5"/>
      <name val="Calibri"/>
      <family val="2"/>
    </font>
    <font>
      <b/>
      <sz val="11"/>
      <name val="Calibri"/>
      <family val="2"/>
    </font>
    <font>
      <strike/>
      <sz val="11"/>
      <name val="Calibri"/>
      <family val="2"/>
    </font>
    <font>
      <sz val="24"/>
      <name val="Calibri"/>
      <family val="2"/>
    </font>
    <font>
      <b/>
      <sz val="11"/>
      <color theme="4"/>
      <name val="Calibri"/>
      <family val="2"/>
    </font>
    <font>
      <b/>
      <sz val="12"/>
      <color theme="4" tint="-0.249977111117893"/>
      <name val="Calibri"/>
      <family val="2"/>
    </font>
    <font>
      <sz val="10"/>
      <name val="Calibri"/>
      <family val="2"/>
    </font>
    <font>
      <sz val="11"/>
      <color rgb="FF00B0F0"/>
      <name val="Calibri"/>
      <family val="2"/>
    </font>
    <font>
      <sz val="12"/>
      <color theme="5"/>
      <name val="Calibri"/>
      <family val="2"/>
    </font>
    <font>
      <sz val="12"/>
      <name val="Univers"/>
      <family val="2"/>
    </font>
    <font>
      <b/>
      <sz val="15"/>
      <name val="Univers"/>
      <family val="2"/>
    </font>
    <font>
      <sz val="10"/>
      <name val="Univers"/>
      <family val="2"/>
    </font>
    <font>
      <b/>
      <sz val="11"/>
      <color rgb="FF000000"/>
      <name val="Univers"/>
      <family val="2"/>
    </font>
    <font>
      <b/>
      <u/>
      <sz val="12"/>
      <name val="Univers"/>
      <family val="2"/>
    </font>
    <font>
      <sz val="8"/>
      <name val="Univers"/>
      <family val="2"/>
    </font>
    <font>
      <b/>
      <sz val="10"/>
      <name val="Univers"/>
      <family val="2"/>
    </font>
    <font>
      <sz val="9"/>
      <name val="Univers"/>
      <family val="2"/>
    </font>
    <font>
      <sz val="11"/>
      <name val="Univers"/>
      <family val="2"/>
    </font>
    <font>
      <b/>
      <sz val="11"/>
      <name val="Univers"/>
      <family val="2"/>
    </font>
    <font>
      <sz val="9"/>
      <name val="宋体"/>
      <family val="3"/>
      <charset val="134"/>
      <scheme val="minor"/>
    </font>
  </fonts>
  <fills count="4">
    <fill>
      <patternFill patternType="none"/>
    </fill>
    <fill>
      <patternFill patternType="gray125"/>
    </fill>
    <fill>
      <patternFill patternType="solid">
        <fgColor theme="3" tint="0.79992065187536243"/>
        <bgColor indexed="64"/>
      </patternFill>
    </fill>
    <fill>
      <patternFill patternType="solid">
        <fgColor theme="2"/>
        <bgColor indexed="64"/>
      </patternFill>
    </fill>
  </fills>
  <borders count="19">
    <border>
      <left/>
      <right/>
      <top/>
      <bottom/>
      <diagonal/>
    </border>
    <border>
      <left/>
      <right/>
      <top/>
      <bottom style="medium">
        <color theme="2" tint="-9.9948118533890809E-2"/>
      </bottom>
      <diagonal/>
    </border>
    <border>
      <left/>
      <right/>
      <top/>
      <bottom style="thin">
        <color theme="2" tint="-0.24994659260841701"/>
      </bottom>
      <diagonal/>
    </border>
    <border>
      <left/>
      <right/>
      <top/>
      <bottom style="medium">
        <color theme="2" tint="-9.985656300546282E-2"/>
      </bottom>
      <diagonal/>
    </border>
    <border>
      <left/>
      <right/>
      <top style="medium">
        <color theme="2" tint="-9.985656300546282E-2"/>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s>
  <cellStyleXfs count="1">
    <xf numFmtId="0" fontId="0" fillId="0" borderId="0"/>
  </cellStyleXfs>
  <cellXfs count="160">
    <xf numFmtId="0" fontId="0" fillId="0" borderId="0" xfId="0"/>
    <xf numFmtId="49" fontId="1" fillId="0" borderId="0" xfId="0" applyNumberFormat="1" applyFont="1" applyAlignment="1">
      <alignment horizontal="center" vertical="center"/>
    </xf>
    <xf numFmtId="43" fontId="1" fillId="0" borderId="0" xfId="0" applyNumberFormat="1" applyFont="1" applyAlignment="1">
      <alignment vertical="center"/>
    </xf>
    <xf numFmtId="176" fontId="1" fillId="0" borderId="0" xfId="0" applyNumberFormat="1" applyFont="1" applyAlignment="1">
      <alignment horizontal="right" vertical="center"/>
    </xf>
    <xf numFmtId="176" fontId="1" fillId="0" borderId="0" xfId="0" applyNumberFormat="1" applyFont="1" applyAlignment="1">
      <alignment vertical="center"/>
    </xf>
    <xf numFmtId="43"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1" fillId="0" borderId="0" xfId="0" applyFont="1" applyAlignment="1">
      <alignment horizontal="center" vertical="center"/>
    </xf>
    <xf numFmtId="43" fontId="4" fillId="0" borderId="0" xfId="0" applyNumberFormat="1" applyFont="1" applyAlignment="1">
      <alignment horizontal="left" vertical="top"/>
    </xf>
    <xf numFmtId="43" fontId="5" fillId="0" borderId="0" xfId="0" applyNumberFormat="1" applyFont="1" applyAlignment="1">
      <alignment horizontal="left" vertical="center"/>
    </xf>
    <xf numFmtId="49" fontId="1" fillId="0" borderId="0" xfId="0" applyNumberFormat="1" applyFont="1" applyAlignment="1">
      <alignment horizontal="left" vertical="center"/>
    </xf>
    <xf numFmtId="176" fontId="1" fillId="0" borderId="0" xfId="0" applyNumberFormat="1" applyFont="1" applyAlignment="1">
      <alignment horizontal="left" vertical="center"/>
    </xf>
    <xf numFmtId="43"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43"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43" fontId="1" fillId="0" borderId="0" xfId="0" applyNumberFormat="1" applyFont="1" applyAlignment="1">
      <alignment vertical="top"/>
    </xf>
    <xf numFmtId="43"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43" fontId="5" fillId="0" borderId="1" xfId="0" applyNumberFormat="1" applyFont="1" applyBorder="1" applyAlignment="1">
      <alignment vertical="center"/>
    </xf>
    <xf numFmtId="43" fontId="5" fillId="0" borderId="1" xfId="0" applyNumberFormat="1" applyFont="1" applyBorder="1" applyAlignment="1">
      <alignment horizontal="center" vertical="center"/>
    </xf>
    <xf numFmtId="43" fontId="5" fillId="0" borderId="1" xfId="0" applyNumberFormat="1" applyFont="1" applyBorder="1" applyAlignment="1">
      <alignment horizontal="left" vertical="center"/>
    </xf>
    <xf numFmtId="0" fontId="7" fillId="0" borderId="0" xfId="0" applyFont="1" applyAlignment="1">
      <alignment horizontal="center" vertical="top"/>
    </xf>
    <xf numFmtId="43"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43" fontId="5" fillId="0" borderId="0" xfId="0" applyNumberFormat="1" applyFont="1" applyAlignment="1">
      <alignment horizontal="center" vertical="top"/>
    </xf>
    <xf numFmtId="43" fontId="5" fillId="0" borderId="0" xfId="0" applyNumberFormat="1" applyFont="1" applyAlignment="1">
      <alignment horizontal="left" vertical="top"/>
    </xf>
    <xf numFmtId="49" fontId="5" fillId="0" borderId="0" xfId="0" applyNumberFormat="1" applyFont="1" applyAlignment="1">
      <alignment horizontal="right" vertical="top"/>
    </xf>
    <xf numFmtId="43" fontId="1" fillId="0" borderId="0" xfId="0" applyNumberFormat="1" applyFont="1" applyAlignment="1">
      <alignment horizontal="left" vertical="top"/>
    </xf>
    <xf numFmtId="0" fontId="5" fillId="0" borderId="0" xfId="0" applyFont="1" applyAlignment="1">
      <alignment horizontal="left" vertical="top" wrapText="1"/>
    </xf>
    <xf numFmtId="177" fontId="5" fillId="0" borderId="0" xfId="0" applyNumberFormat="1" applyFont="1" applyAlignment="1">
      <alignment horizontal="center" vertical="top" wrapText="1"/>
    </xf>
    <xf numFmtId="177"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43"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78" fontId="5" fillId="0" borderId="0" xfId="0" applyNumberFormat="1" applyFont="1" applyAlignment="1">
      <alignment horizontal="left" vertical="top" wrapText="1" indent="1"/>
    </xf>
    <xf numFmtId="179" fontId="5" fillId="0" borderId="0" xfId="0" applyNumberFormat="1" applyFont="1" applyAlignment="1">
      <alignment horizontal="center" vertical="top" wrapText="1"/>
    </xf>
    <xf numFmtId="180" fontId="5" fillId="0" borderId="0" xfId="0" applyNumberFormat="1" applyFont="1" applyAlignment="1">
      <alignment horizontal="center" vertical="top" wrapText="1"/>
    </xf>
    <xf numFmtId="181" fontId="5" fillId="0" borderId="0" xfId="0" applyNumberFormat="1" applyFont="1" applyAlignment="1">
      <alignment horizontal="center" vertical="top" wrapText="1"/>
    </xf>
    <xf numFmtId="43" fontId="5" fillId="0" borderId="0" xfId="0" applyNumberFormat="1" applyFont="1" applyAlignment="1">
      <alignment horizontal="right"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179" fontId="5" fillId="0" borderId="2" xfId="0" applyNumberFormat="1" applyFont="1" applyBorder="1" applyAlignment="1">
      <alignment horizontal="center" vertical="top" wrapText="1"/>
    </xf>
    <xf numFmtId="181"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183" fontId="5" fillId="0" borderId="0" xfId="0" applyNumberFormat="1" applyFont="1" applyAlignment="1">
      <alignment horizontal="center" vertical="center"/>
    </xf>
    <xf numFmtId="184" fontId="5" fillId="0" borderId="0" xfId="0" applyNumberFormat="1" applyFont="1" applyAlignment="1">
      <alignment horizontal="center" vertical="center"/>
    </xf>
    <xf numFmtId="0" fontId="10" fillId="0" borderId="0" xfId="0" applyFont="1" applyAlignment="1">
      <alignment horizontal="left" wrapText="1"/>
    </xf>
    <xf numFmtId="0" fontId="7"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84" fontId="5" fillId="0" borderId="0" xfId="0" applyNumberFormat="1" applyFont="1" applyAlignment="1">
      <alignment horizontal="center" vertical="top"/>
    </xf>
    <xf numFmtId="43" fontId="12" fillId="0" borderId="0" xfId="0" applyNumberFormat="1" applyFont="1" applyAlignment="1">
      <alignment vertical="center"/>
    </xf>
    <xf numFmtId="43" fontId="12" fillId="0" borderId="0" xfId="0" applyNumberFormat="1" applyFont="1" applyAlignment="1">
      <alignment horizontal="center" vertical="center"/>
    </xf>
    <xf numFmtId="0" fontId="13" fillId="0" borderId="3" xfId="0" applyFont="1" applyBorder="1"/>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43" fontId="15" fillId="0" borderId="0" xfId="0" applyNumberFormat="1" applyFont="1" applyAlignment="1">
      <alignment vertical="center"/>
    </xf>
    <xf numFmtId="176" fontId="15" fillId="0" borderId="0" xfId="0" applyNumberFormat="1" applyFont="1" applyAlignment="1">
      <alignment horizontal="right" vertical="center"/>
    </xf>
    <xf numFmtId="176" fontId="15" fillId="0" borderId="0" xfId="0" applyNumberFormat="1" applyFont="1" applyAlignment="1">
      <alignment vertical="center"/>
    </xf>
    <xf numFmtId="43" fontId="15" fillId="0" borderId="0" xfId="0" applyNumberFormat="1" applyFont="1" applyAlignment="1">
      <alignment horizontal="center" vertical="center"/>
    </xf>
    <xf numFmtId="0" fontId="15" fillId="0" borderId="0" xfId="0" applyFont="1" applyAlignment="1">
      <alignment vertic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76" fontId="19" fillId="0" borderId="0" xfId="0" applyNumberFormat="1" applyFont="1" applyAlignment="1">
      <alignment horizontal="right" vertical="center"/>
    </xf>
    <xf numFmtId="0" fontId="17" fillId="0" borderId="0" xfId="0" applyFont="1" applyAlignment="1">
      <alignment vertical="center" wrapText="1"/>
    </xf>
    <xf numFmtId="0" fontId="20" fillId="0" borderId="0" xfId="0" applyFont="1" applyAlignment="1">
      <alignment vertical="center" wrapText="1"/>
    </xf>
    <xf numFmtId="0" fontId="22" fillId="0" borderId="0" xfId="0" applyFont="1" applyAlignment="1">
      <alignment horizontal="left" wrapText="1"/>
    </xf>
    <xf numFmtId="43" fontId="23" fillId="0" borderId="0" xfId="0" applyNumberFormat="1" applyFont="1" applyAlignment="1">
      <alignment vertical="center"/>
    </xf>
    <xf numFmtId="43" fontId="23" fillId="0" borderId="0" xfId="0" applyNumberFormat="1" applyFont="1" applyAlignment="1">
      <alignment horizontal="center" vertical="center"/>
    </xf>
    <xf numFmtId="0" fontId="23" fillId="0" borderId="6"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80" fontId="23" fillId="0" borderId="0" xfId="0" applyNumberFormat="1" applyFont="1" applyAlignment="1">
      <alignment horizontal="center" vertical="center"/>
    </xf>
    <xf numFmtId="185" fontId="23" fillId="0" borderId="0" xfId="0" applyNumberFormat="1" applyFont="1" applyAlignment="1">
      <alignment horizontal="center" vertical="center"/>
    </xf>
    <xf numFmtId="186" fontId="23" fillId="0" borderId="0" xfId="0" applyNumberFormat="1" applyFont="1" applyAlignment="1">
      <alignment horizontal="center" vertical="center"/>
    </xf>
    <xf numFmtId="43" fontId="23" fillId="0" borderId="0" xfId="0" applyNumberFormat="1" applyFont="1" applyAlignment="1">
      <alignment horizontal="left" vertical="center"/>
    </xf>
    <xf numFmtId="0" fontId="23" fillId="0" borderId="10" xfId="0" applyFont="1" applyBorder="1" applyAlignment="1">
      <alignment horizontal="center" vertical="center" wrapText="1"/>
    </xf>
    <xf numFmtId="0" fontId="23" fillId="0" borderId="5" xfId="0" applyFont="1" applyBorder="1" applyAlignment="1">
      <alignment horizontal="left" vertical="center" wrapText="1" indent="1"/>
    </xf>
    <xf numFmtId="179" fontId="23" fillId="0" borderId="10" xfId="0" applyNumberFormat="1" applyFont="1" applyBorder="1" applyAlignment="1">
      <alignment horizontal="center" vertical="center" wrapText="1"/>
    </xf>
    <xf numFmtId="181" fontId="23" fillId="0" borderId="9" xfId="0" applyNumberFormat="1" applyFont="1" applyBorder="1" applyAlignment="1">
      <alignment horizontal="center" vertical="center" wrapText="1"/>
    </xf>
    <xf numFmtId="43" fontId="23" fillId="0" borderId="0" xfId="0" applyNumberFormat="1" applyFont="1" applyAlignment="1">
      <alignment horizontal="right" vertical="center"/>
    </xf>
    <xf numFmtId="181"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5" xfId="0" applyFont="1" applyBorder="1" applyAlignment="1">
      <alignment horizontal="center" vertical="center" wrapText="1"/>
    </xf>
    <xf numFmtId="183" fontId="23" fillId="0" borderId="0" xfId="0" applyNumberFormat="1" applyFont="1" applyAlignment="1">
      <alignment horizontal="center" vertical="center"/>
    </xf>
    <xf numFmtId="0" fontId="23" fillId="0" borderId="18" xfId="0" applyFont="1" applyBorder="1" applyAlignment="1">
      <alignment horizontal="center" vertical="center" wrapText="1"/>
    </xf>
    <xf numFmtId="184" fontId="23" fillId="0" borderId="0" xfId="0" applyNumberFormat="1" applyFont="1" applyAlignment="1">
      <alignment horizontal="center" vertical="center"/>
    </xf>
    <xf numFmtId="0" fontId="24" fillId="0" borderId="0" xfId="0" applyFont="1" applyAlignment="1">
      <alignment horizontal="left" vertical="center" wrapText="1"/>
    </xf>
    <xf numFmtId="43" fontId="17" fillId="0" borderId="0" xfId="0" applyNumberFormat="1" applyFont="1" applyAlignment="1">
      <alignment vertical="center"/>
    </xf>
    <xf numFmtId="43"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17" fillId="0" borderId="0" xfId="0" applyFont="1"/>
    <xf numFmtId="176" fontId="17" fillId="0" borderId="0" xfId="0" applyNumberFormat="1" applyFont="1" applyAlignment="1">
      <alignment horizontal="right" vertical="center"/>
    </xf>
    <xf numFmtId="176" fontId="17" fillId="0" borderId="0" xfId="0" applyNumberFormat="1" applyFont="1" applyAlignment="1">
      <alignment vertical="center"/>
    </xf>
    <xf numFmtId="43" fontId="15" fillId="0" borderId="5" xfId="0" applyNumberFormat="1" applyFont="1" applyBorder="1" applyAlignment="1">
      <alignment vertical="center"/>
    </xf>
    <xf numFmtId="176" fontId="15" fillId="0" borderId="5" xfId="0" applyNumberFormat="1" applyFont="1" applyBorder="1" applyAlignment="1">
      <alignment vertical="center"/>
    </xf>
    <xf numFmtId="0" fontId="3" fillId="0" borderId="0" xfId="0" applyFont="1" applyAlignment="1">
      <alignment horizontal="left" vertical="center"/>
    </xf>
    <xf numFmtId="43" fontId="1" fillId="0" borderId="0" xfId="0" applyNumberFormat="1" applyFont="1" applyAlignment="1">
      <alignment horizontal="left" vertical="top"/>
    </xf>
    <xf numFmtId="0" fontId="5" fillId="0" borderId="0" xfId="0" applyFont="1" applyAlignment="1">
      <alignment horizontal="left" vertical="top" wrapText="1"/>
    </xf>
    <xf numFmtId="0" fontId="9" fillId="0" borderId="0" xfId="0" applyFont="1" applyAlignment="1">
      <alignment horizontal="center" vertical="center" wrapText="1"/>
    </xf>
    <xf numFmtId="43" fontId="7" fillId="2" borderId="0" xfId="0" applyNumberFormat="1" applyFont="1" applyFill="1" applyAlignment="1">
      <alignment vertical="center" wrapText="1"/>
    </xf>
    <xf numFmtId="43" fontId="10" fillId="3" borderId="0" xfId="0" applyNumberFormat="1" applyFont="1" applyFill="1" applyAlignment="1">
      <alignment horizontal="center" vertical="center"/>
    </xf>
    <xf numFmtId="178" fontId="5" fillId="0" borderId="0" xfId="0" applyNumberFormat="1" applyFont="1" applyAlignment="1">
      <alignment horizontal="left" vertical="top" wrapText="1" indent="1"/>
    </xf>
    <xf numFmtId="178" fontId="5" fillId="0" borderId="0" xfId="0" applyNumberFormat="1" applyFont="1" applyAlignment="1">
      <alignment horizontal="center" vertical="top" wrapText="1"/>
    </xf>
    <xf numFmtId="178"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0" fontId="11" fillId="0" borderId="0" xfId="0" applyFont="1" applyAlignment="1">
      <alignment horizontal="left"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82" fontId="7" fillId="0" borderId="0" xfId="0" applyNumberFormat="1" applyFont="1" applyAlignment="1">
      <alignment vertical="center" wrapText="1"/>
    </xf>
    <xf numFmtId="0" fontId="5" fillId="0" borderId="0" xfId="0" applyFont="1" applyAlignment="1">
      <alignment horizontal="left"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justify" wrapText="1"/>
    </xf>
    <xf numFmtId="0" fontId="5" fillId="0" borderId="0" xfId="0" applyFont="1" applyAlignment="1">
      <alignment horizontal="justify" wrapText="1"/>
    </xf>
    <xf numFmtId="49" fontId="14" fillId="0" borderId="4" xfId="0" applyNumberFormat="1" applyFont="1" applyBorder="1" applyAlignment="1">
      <alignment horizontal="left" vertical="center"/>
    </xf>
    <xf numFmtId="0" fontId="5" fillId="0" borderId="0" xfId="0" applyFont="1" applyAlignment="1">
      <alignment vertical="center"/>
    </xf>
    <xf numFmtId="0" fontId="16" fillId="0" borderId="0" xfId="0" applyFont="1" applyAlignment="1">
      <alignment horizontal="center"/>
    </xf>
    <xf numFmtId="0" fontId="17" fillId="0" borderId="0" xfId="0" applyFont="1" applyAlignment="1">
      <alignment horizontal="left" vertical="top" wrapText="1"/>
    </xf>
    <xf numFmtId="0" fontId="21" fillId="0" borderId="0" xfId="0" applyFont="1" applyAlignment="1">
      <alignment horizontal="left" vertical="center"/>
    </xf>
    <xf numFmtId="0" fontId="17" fillId="0" borderId="0" xfId="0" applyFont="1" applyAlignment="1">
      <alignment vertical="top" wrapText="1"/>
    </xf>
    <xf numFmtId="0" fontId="23" fillId="0" borderId="0" xfId="0" applyFont="1" applyAlignment="1">
      <alignment horizontal="left" vertical="center" wrapText="1"/>
    </xf>
    <xf numFmtId="0" fontId="24" fillId="0" borderId="5" xfId="0" applyFont="1" applyBorder="1" applyAlignment="1">
      <alignment horizontal="left" vertical="center" wrapText="1"/>
    </xf>
    <xf numFmtId="43" fontId="23" fillId="0" borderId="6" xfId="0" applyNumberFormat="1" applyFont="1" applyBorder="1" applyAlignment="1">
      <alignment horizontal="center" vertical="center"/>
    </xf>
    <xf numFmtId="43" fontId="23" fillId="0" borderId="7" xfId="0" applyNumberFormat="1" applyFont="1" applyBorder="1" applyAlignment="1">
      <alignment horizontal="center" vertical="center"/>
    </xf>
    <xf numFmtId="178" fontId="23" fillId="0" borderId="6" xfId="0" applyNumberFormat="1" applyFont="1" applyBorder="1" applyAlignment="1">
      <alignment horizontal="center" vertical="center" wrapText="1"/>
    </xf>
    <xf numFmtId="178" fontId="23" fillId="0" borderId="7" xfId="0" applyNumberFormat="1" applyFont="1" applyBorder="1" applyAlignment="1">
      <alignment horizontal="center" vertical="center" wrapText="1"/>
    </xf>
    <xf numFmtId="43" fontId="23" fillId="0" borderId="0" xfId="0" applyNumberFormat="1" applyFont="1" applyAlignment="1">
      <alignment horizontal="left" vertical="center"/>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6" xfId="0" applyNumberFormat="1"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7" xfId="0" applyFont="1" applyBorder="1" applyAlignment="1">
      <alignment horizontal="center" vertical="center" wrapText="1"/>
    </xf>
    <xf numFmtId="0" fontId="23" fillId="0" borderId="11" xfId="0" applyFont="1" applyBorder="1" applyAlignment="1">
      <alignment horizontal="center" vertical="center" wrapText="1"/>
    </xf>
    <xf numFmtId="181" fontId="24" fillId="0" borderId="17" xfId="0" applyNumberFormat="1" applyFont="1" applyBorder="1" applyAlignment="1">
      <alignment horizontal="center" vertical="center" wrapText="1"/>
    </xf>
    <xf numFmtId="181"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0" fontId="24" fillId="0" borderId="0" xfId="0" applyFont="1" applyAlignment="1">
      <alignment horizontal="left" vertical="center" wrapText="1"/>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3"/>
  <sheetViews>
    <sheetView tabSelected="1" view="pageBreakPreview" topLeftCell="A22" zoomScaleNormal="115" workbookViewId="0">
      <selection activeCell="J4" sqref="J4"/>
    </sheetView>
  </sheetViews>
  <sheetFormatPr defaultColWidth="9" defaultRowHeight="15.6"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9" width="9" style="2" customWidth="1"/>
    <col min="20" max="16384" width="9" style="2"/>
  </cols>
  <sheetData>
    <row r="1" spans="1:19" s="6" customFormat="1" ht="66" customHeight="1">
      <c r="A1" s="7"/>
      <c r="B1" s="7"/>
      <c r="C1" s="7"/>
      <c r="D1" s="7"/>
      <c r="E1" s="7"/>
      <c r="F1" s="110" t="s">
        <v>0</v>
      </c>
      <c r="G1" s="110"/>
      <c r="H1" s="110"/>
      <c r="N1" s="8"/>
      <c r="O1" s="8"/>
    </row>
    <row r="2" spans="1:19" ht="21.9" customHeight="1">
      <c r="A2" s="9" t="s">
        <v>1</v>
      </c>
      <c r="F2" s="10" t="s">
        <v>2</v>
      </c>
      <c r="G2" s="11" t="s">
        <v>3</v>
      </c>
      <c r="H2" s="12"/>
    </row>
    <row r="3" spans="1:19" s="13" customFormat="1" ht="21.9" customHeight="1">
      <c r="A3" s="14" t="s">
        <v>4</v>
      </c>
      <c r="B3" s="15"/>
      <c r="D3" s="16"/>
      <c r="E3" s="16"/>
      <c r="F3" s="10" t="s">
        <v>5</v>
      </c>
      <c r="G3" s="10" t="s">
        <v>6</v>
      </c>
      <c r="H3" s="10" t="s">
        <v>7</v>
      </c>
      <c r="N3" s="16"/>
      <c r="O3" s="16"/>
    </row>
    <row r="4" spans="1:19" s="13" customFormat="1" ht="21.9" customHeight="1">
      <c r="A4" s="17" t="s">
        <v>8</v>
      </c>
      <c r="B4" s="15"/>
      <c r="D4" s="16"/>
      <c r="E4" s="16"/>
      <c r="F4" s="10" t="s">
        <v>9</v>
      </c>
      <c r="G4" s="10" t="s">
        <v>10</v>
      </c>
      <c r="H4" s="10"/>
      <c r="J4" s="18"/>
      <c r="K4" s="19"/>
      <c r="L4" s="18"/>
      <c r="M4" s="20"/>
      <c r="N4" s="21"/>
      <c r="O4" s="21"/>
      <c r="P4" s="21"/>
      <c r="Q4" s="21"/>
    </row>
    <row r="5" spans="1:19" s="13" customFormat="1" ht="21.75" customHeight="1">
      <c r="A5" s="22"/>
      <c r="B5" s="23"/>
      <c r="C5" s="24"/>
      <c r="D5" s="25"/>
      <c r="E5" s="25"/>
      <c r="F5" s="26" t="s">
        <v>11</v>
      </c>
      <c r="G5" s="26" t="s">
        <v>12</v>
      </c>
      <c r="H5" s="26"/>
      <c r="J5" s="18"/>
      <c r="K5" s="19"/>
      <c r="L5" s="18"/>
      <c r="M5" s="20"/>
      <c r="N5" s="21"/>
      <c r="O5" s="21"/>
      <c r="P5" s="21"/>
      <c r="Q5" s="21"/>
    </row>
    <row r="6" spans="1:19" s="20" customFormat="1" ht="20.100000000000001" customHeight="1">
      <c r="A6" s="27" t="s">
        <v>13</v>
      </c>
      <c r="B6" s="20" t="s">
        <v>14</v>
      </c>
      <c r="C6" s="28"/>
      <c r="D6" s="28"/>
      <c r="E6" s="28"/>
      <c r="F6" s="29"/>
      <c r="G6" s="30"/>
      <c r="H6" s="30"/>
      <c r="I6" s="31"/>
      <c r="J6" s="32"/>
      <c r="K6" s="32"/>
      <c r="L6" s="32"/>
      <c r="M6" s="32"/>
      <c r="N6" s="32"/>
      <c r="O6" s="32"/>
      <c r="P6" s="33"/>
      <c r="Q6" s="32"/>
      <c r="R6" s="32"/>
    </row>
    <row r="7" spans="1:19" s="20" customFormat="1" ht="20.100000000000001" customHeight="1">
      <c r="A7" s="34" t="s">
        <v>15</v>
      </c>
      <c r="B7" s="111" t="s">
        <v>16</v>
      </c>
      <c r="C7" s="111"/>
      <c r="D7" s="111"/>
      <c r="E7" s="35"/>
      <c r="F7" s="112"/>
      <c r="G7" s="112"/>
      <c r="H7" s="112"/>
      <c r="I7" s="21"/>
      <c r="J7" s="37"/>
      <c r="K7" s="21"/>
      <c r="L7" s="37"/>
      <c r="M7" s="21"/>
      <c r="N7" s="37"/>
      <c r="O7" s="21"/>
      <c r="P7" s="38"/>
      <c r="Q7" s="39"/>
      <c r="R7" s="37"/>
    </row>
    <row r="8" spans="1:19" s="20" customFormat="1" ht="20.100000000000001" customHeight="1">
      <c r="A8" s="34" t="s">
        <v>17</v>
      </c>
      <c r="B8" s="111" t="s">
        <v>18</v>
      </c>
      <c r="C8" s="111"/>
      <c r="D8" s="111"/>
      <c r="E8" s="35"/>
      <c r="F8" s="112"/>
      <c r="G8" s="112"/>
      <c r="H8" s="112"/>
      <c r="I8" s="18"/>
      <c r="J8" s="18"/>
      <c r="K8" s="18"/>
      <c r="L8" s="37"/>
      <c r="M8" s="21"/>
      <c r="N8" s="37"/>
      <c r="O8" s="21"/>
      <c r="P8" s="38"/>
      <c r="Q8" s="39"/>
      <c r="R8" s="37"/>
    </row>
    <row r="9" spans="1:19" s="13" customFormat="1" ht="23.25" customHeight="1">
      <c r="A9" s="113" t="s">
        <v>7</v>
      </c>
      <c r="B9" s="113"/>
      <c r="C9" s="113"/>
      <c r="D9" s="113"/>
      <c r="E9" s="113"/>
      <c r="F9" s="113"/>
      <c r="G9" s="113"/>
      <c r="H9" s="113"/>
      <c r="I9" s="16"/>
      <c r="J9" s="16"/>
      <c r="K9" s="16"/>
      <c r="L9" s="114"/>
      <c r="M9" s="114"/>
      <c r="N9" s="114"/>
      <c r="O9" s="114"/>
      <c r="P9" s="114"/>
      <c r="Q9" s="114"/>
      <c r="R9" s="114"/>
      <c r="S9" s="114"/>
    </row>
    <row r="10" spans="1:19" s="40" customFormat="1" ht="26.25" customHeight="1">
      <c r="A10" s="41" t="s">
        <v>19</v>
      </c>
      <c r="B10" s="115" t="s">
        <v>20</v>
      </c>
      <c r="C10" s="115"/>
      <c r="D10" s="41" t="s">
        <v>21</v>
      </c>
      <c r="E10" s="41" t="s">
        <v>22</v>
      </c>
      <c r="F10" s="41" t="s">
        <v>23</v>
      </c>
      <c r="G10" s="41" t="s">
        <v>24</v>
      </c>
      <c r="H10" s="41" t="s">
        <v>25</v>
      </c>
      <c r="L10" s="114"/>
      <c r="M10" s="114"/>
      <c r="N10" s="114"/>
      <c r="O10" s="114"/>
      <c r="P10" s="114"/>
      <c r="Q10" s="114"/>
      <c r="R10" s="114"/>
      <c r="S10" s="114"/>
    </row>
    <row r="11" spans="1:19" s="13" customFormat="1" ht="30" customHeight="1">
      <c r="A11" s="18">
        <v>1</v>
      </c>
      <c r="B11" s="116" t="s">
        <v>26</v>
      </c>
      <c r="C11" s="116"/>
      <c r="D11" s="36" t="s">
        <v>27</v>
      </c>
      <c r="E11" s="43">
        <v>100</v>
      </c>
      <c r="F11" s="43" t="s">
        <v>28</v>
      </c>
      <c r="G11" s="44">
        <v>55</v>
      </c>
      <c r="H11" s="45">
        <v>5500</v>
      </c>
      <c r="K11" s="46"/>
      <c r="N11" s="16"/>
      <c r="O11" s="16"/>
      <c r="P11" s="10"/>
      <c r="Q11" s="10"/>
    </row>
    <row r="12" spans="1:19" ht="30" customHeight="1">
      <c r="A12" s="18">
        <v>2</v>
      </c>
      <c r="B12" s="42" t="s">
        <v>29</v>
      </c>
      <c r="C12" s="13"/>
      <c r="D12" s="36" t="s">
        <v>30</v>
      </c>
      <c r="E12" s="43">
        <v>100</v>
      </c>
      <c r="F12" s="43" t="s">
        <v>31</v>
      </c>
      <c r="G12" s="44">
        <v>5.5</v>
      </c>
      <c r="H12" s="45">
        <v>550</v>
      </c>
      <c r="I12" s="13"/>
      <c r="J12" s="13"/>
      <c r="K12" s="46"/>
      <c r="L12" s="13"/>
      <c r="M12" s="13"/>
      <c r="N12" s="16"/>
      <c r="O12" s="16"/>
      <c r="P12" s="10"/>
      <c r="Q12" s="10"/>
    </row>
    <row r="13" spans="1:19" ht="30" customHeight="1">
      <c r="A13" s="18">
        <v>3</v>
      </c>
      <c r="B13" s="42" t="s">
        <v>32</v>
      </c>
      <c r="C13" s="13"/>
      <c r="D13" s="36" t="s">
        <v>33</v>
      </c>
      <c r="E13" s="43">
        <v>99</v>
      </c>
      <c r="F13" s="43" t="s">
        <v>31</v>
      </c>
      <c r="G13" s="44">
        <v>8.5</v>
      </c>
      <c r="H13" s="45">
        <v>841.5</v>
      </c>
      <c r="I13" s="13"/>
      <c r="J13" s="13"/>
      <c r="K13" s="46"/>
      <c r="L13" s="13"/>
      <c r="M13" s="13"/>
      <c r="N13" s="16"/>
      <c r="O13" s="16"/>
      <c r="P13" s="10"/>
      <c r="Q13" s="10"/>
    </row>
    <row r="14" spans="1:19" s="13" customFormat="1" ht="23.1" customHeight="1">
      <c r="A14" s="18">
        <v>2</v>
      </c>
      <c r="B14" s="117"/>
      <c r="C14" s="117"/>
      <c r="D14" s="36" t="s">
        <v>34</v>
      </c>
      <c r="E14" s="43">
        <v>1</v>
      </c>
      <c r="F14" s="43" t="s">
        <v>35</v>
      </c>
      <c r="G14" s="44">
        <v>1400</v>
      </c>
      <c r="H14" s="45">
        <v>1400</v>
      </c>
      <c r="K14" s="46"/>
      <c r="N14" s="16"/>
      <c r="O14" s="16"/>
      <c r="P14" s="10"/>
      <c r="Q14" s="10"/>
    </row>
    <row r="15" spans="1:19" s="13" customFormat="1" ht="23.1" customHeight="1">
      <c r="A15" s="18"/>
      <c r="B15" s="117"/>
      <c r="C15" s="117"/>
      <c r="D15" s="36"/>
      <c r="E15" s="36"/>
      <c r="F15" s="43"/>
      <c r="G15" s="45"/>
      <c r="H15" s="45"/>
      <c r="K15" s="46"/>
      <c r="N15" s="16"/>
      <c r="O15" s="16"/>
      <c r="P15" s="10"/>
      <c r="Q15" s="10"/>
    </row>
    <row r="16" spans="1:19" s="13" customFormat="1" ht="23.1" customHeight="1">
      <c r="A16" s="47"/>
      <c r="B16" s="118"/>
      <c r="C16" s="118"/>
      <c r="D16" s="48"/>
      <c r="E16" s="48"/>
      <c r="F16" s="49"/>
      <c r="G16" s="50"/>
      <c r="H16" s="50"/>
      <c r="K16" s="46"/>
      <c r="L16" s="16"/>
      <c r="M16" s="16"/>
      <c r="N16" s="16"/>
      <c r="O16" s="16"/>
      <c r="P16" s="16"/>
      <c r="Q16" s="16"/>
      <c r="R16" s="16"/>
      <c r="S16" s="16"/>
    </row>
    <row r="17" spans="1:11" s="16" customFormat="1" ht="16.5" customHeight="1">
      <c r="A17" s="119" t="s">
        <v>7</v>
      </c>
      <c r="B17" s="119"/>
      <c r="C17" s="119"/>
      <c r="D17" s="51"/>
      <c r="E17" s="51"/>
      <c r="F17" s="121" t="s">
        <v>7</v>
      </c>
      <c r="G17" s="122" t="s">
        <v>36</v>
      </c>
      <c r="H17" s="123">
        <f>SUM(H11:H13)</f>
        <v>6891.5</v>
      </c>
      <c r="I17" s="52"/>
    </row>
    <row r="18" spans="1:11" s="16" customFormat="1" ht="13.5" customHeight="1">
      <c r="A18" s="120"/>
      <c r="B18" s="120"/>
      <c r="C18" s="120"/>
      <c r="D18" s="51"/>
      <c r="E18" s="51"/>
      <c r="F18" s="120"/>
      <c r="G18" s="120"/>
      <c r="H18" s="120"/>
    </row>
    <row r="19" spans="1:11" s="16" customFormat="1" ht="30" customHeight="1">
      <c r="A19" s="120" t="s">
        <v>37</v>
      </c>
      <c r="B19" s="120"/>
      <c r="C19" s="120"/>
      <c r="D19" s="120"/>
      <c r="E19" s="120"/>
      <c r="F19" s="120"/>
      <c r="G19" s="120"/>
      <c r="H19" s="120"/>
      <c r="K19" s="53"/>
    </row>
    <row r="20" spans="1:11" s="16" customFormat="1" ht="20.100000000000001" customHeight="1">
      <c r="A20" s="124" t="s">
        <v>38</v>
      </c>
      <c r="B20" s="124"/>
      <c r="C20" s="124" t="s">
        <v>39</v>
      </c>
      <c r="D20" s="124"/>
      <c r="E20" s="124"/>
      <c r="F20" s="124"/>
      <c r="G20" s="124"/>
      <c r="H20" s="54"/>
      <c r="K20" s="53"/>
    </row>
    <row r="21" spans="1:11" s="16" customFormat="1" ht="20.100000000000001" customHeight="1">
      <c r="A21" s="124" t="s">
        <v>40</v>
      </c>
      <c r="B21" s="124"/>
      <c r="C21" s="124" t="s">
        <v>41</v>
      </c>
      <c r="D21" s="124"/>
      <c r="E21" s="124"/>
      <c r="F21" s="124"/>
      <c r="G21" s="124"/>
      <c r="H21" s="54"/>
      <c r="K21" s="53"/>
    </row>
    <row r="22" spans="1:11" s="16" customFormat="1" ht="20.100000000000001" customHeight="1">
      <c r="A22" s="124" t="s">
        <v>42</v>
      </c>
      <c r="B22" s="124"/>
      <c r="C22" s="124" t="s">
        <v>43</v>
      </c>
      <c r="D22" s="124"/>
      <c r="E22" s="124"/>
      <c r="F22" s="124"/>
      <c r="G22" s="124"/>
      <c r="H22" s="54"/>
      <c r="K22" s="53"/>
    </row>
    <row r="23" spans="1:11" s="54" customFormat="1" ht="20.100000000000001" customHeight="1">
      <c r="A23" s="124" t="s">
        <v>44</v>
      </c>
      <c r="B23" s="124"/>
      <c r="C23" s="124" t="s">
        <v>45</v>
      </c>
      <c r="D23" s="124"/>
      <c r="E23" s="124"/>
      <c r="F23" s="124"/>
      <c r="G23" s="124"/>
    </row>
    <row r="24" spans="1:11" s="54" customFormat="1" ht="20.100000000000001" customHeight="1">
      <c r="A24" s="124" t="s">
        <v>46</v>
      </c>
      <c r="B24" s="124"/>
      <c r="C24" s="124" t="s">
        <v>47</v>
      </c>
      <c r="D24" s="124"/>
      <c r="E24" s="124"/>
      <c r="F24" s="124"/>
      <c r="G24" s="124"/>
    </row>
    <row r="25" spans="1:11" s="54" customFormat="1" ht="20.100000000000001" customHeight="1">
      <c r="A25" s="124" t="s">
        <v>48</v>
      </c>
      <c r="B25" s="124"/>
      <c r="C25" s="124" t="s">
        <v>49</v>
      </c>
      <c r="D25" s="124"/>
      <c r="E25" s="124"/>
      <c r="F25" s="124"/>
      <c r="G25" s="124"/>
    </row>
    <row r="26" spans="1:11" s="54" customFormat="1" ht="20.100000000000001" customHeight="1">
      <c r="A26" s="124" t="s">
        <v>50</v>
      </c>
      <c r="B26" s="124"/>
      <c r="C26" s="124" t="s">
        <v>51</v>
      </c>
      <c r="D26" s="124"/>
      <c r="E26" s="124"/>
      <c r="F26" s="124"/>
      <c r="G26" s="124"/>
    </row>
    <row r="27" spans="1:11" s="54" customFormat="1" ht="20.100000000000001" customHeight="1">
      <c r="A27" s="124" t="s">
        <v>52</v>
      </c>
      <c r="B27" s="124"/>
      <c r="C27" s="124" t="s">
        <v>45</v>
      </c>
      <c r="D27" s="124"/>
      <c r="E27" s="124"/>
      <c r="F27" s="124"/>
      <c r="G27" s="124"/>
    </row>
    <row r="28" spans="1:11" s="16" customFormat="1" ht="20.100000000000001" customHeight="1">
      <c r="A28" s="36"/>
      <c r="B28" s="36"/>
      <c r="C28" s="36"/>
      <c r="D28" s="36"/>
      <c r="E28" s="36"/>
      <c r="F28" s="55"/>
      <c r="G28" s="55"/>
      <c r="H28" s="55"/>
      <c r="K28" s="53"/>
    </row>
    <row r="29" spans="1:11" s="16" customFormat="1" ht="31.5" customHeight="1">
      <c r="A29" s="125" t="s">
        <v>53</v>
      </c>
      <c r="B29" s="125"/>
      <c r="C29" s="125"/>
      <c r="D29" s="125"/>
      <c r="E29" s="125"/>
      <c r="F29" s="125"/>
      <c r="G29" s="125"/>
      <c r="H29" s="125"/>
      <c r="K29" s="53"/>
    </row>
    <row r="30" spans="1:11" s="32" customFormat="1" ht="20.100000000000001" customHeight="1">
      <c r="A30" s="126" t="s">
        <v>54</v>
      </c>
      <c r="B30" s="126"/>
      <c r="C30" s="126"/>
      <c r="D30" s="126"/>
      <c r="E30" s="126"/>
      <c r="F30" s="57" t="s">
        <v>45</v>
      </c>
      <c r="G30" s="57" t="s">
        <v>45</v>
      </c>
      <c r="H30" s="57" t="s">
        <v>45</v>
      </c>
      <c r="K30" s="58"/>
    </row>
    <row r="31" spans="1:11" ht="20.100000000000001" customHeight="1">
      <c r="A31" s="56" t="s">
        <v>55</v>
      </c>
      <c r="B31" s="56"/>
      <c r="C31" s="56"/>
      <c r="D31" s="56"/>
      <c r="E31" s="56"/>
      <c r="F31" s="57"/>
      <c r="G31" s="57"/>
      <c r="H31" s="57"/>
      <c r="I31" s="32"/>
      <c r="J31" s="32"/>
      <c r="K31" s="58"/>
    </row>
    <row r="32" spans="1:11" ht="20.100000000000001" customHeight="1">
      <c r="A32" s="126" t="s">
        <v>56</v>
      </c>
      <c r="B32" s="126"/>
      <c r="C32" s="126"/>
      <c r="D32" s="126"/>
      <c r="E32" s="126"/>
      <c r="F32" s="126"/>
      <c r="G32" s="126"/>
      <c r="H32" s="126"/>
      <c r="I32" s="32"/>
      <c r="J32" s="32"/>
      <c r="K32" s="58"/>
    </row>
    <row r="33" spans="1:19" ht="20.100000000000001" customHeight="1">
      <c r="A33" s="56" t="s">
        <v>57</v>
      </c>
      <c r="B33" s="56"/>
      <c r="C33" s="56"/>
      <c r="D33" s="56"/>
      <c r="E33" s="56"/>
      <c r="F33" s="57"/>
      <c r="G33" s="57"/>
      <c r="H33" s="57"/>
      <c r="I33" s="32"/>
      <c r="J33" s="32"/>
      <c r="K33" s="58"/>
    </row>
    <row r="34" spans="1:19" s="16" customFormat="1" ht="27" customHeight="1">
      <c r="A34" s="36"/>
      <c r="B34" s="36"/>
      <c r="C34" s="36"/>
      <c r="D34" s="36"/>
      <c r="E34" s="36"/>
      <c r="F34" s="55"/>
      <c r="G34" s="55"/>
      <c r="H34" s="55"/>
      <c r="K34" s="53"/>
      <c r="L34" s="59"/>
      <c r="M34" s="59"/>
      <c r="N34" s="60"/>
      <c r="O34" s="60"/>
      <c r="P34" s="59"/>
      <c r="Q34" s="59"/>
      <c r="R34" s="59"/>
      <c r="S34" s="59"/>
    </row>
    <row r="35" spans="1:19" s="59" customFormat="1" ht="19.5" customHeight="1">
      <c r="A35" s="127" t="s">
        <v>58</v>
      </c>
      <c r="B35" s="127"/>
      <c r="C35" s="127"/>
      <c r="D35" s="127"/>
      <c r="E35" s="127"/>
      <c r="F35" s="127"/>
      <c r="G35" s="127"/>
      <c r="H35" s="127"/>
      <c r="N35" s="60"/>
      <c r="O35" s="60"/>
    </row>
    <row r="36" spans="1:19" s="59" customFormat="1" ht="53.25" customHeight="1">
      <c r="A36" s="128" t="s">
        <v>59</v>
      </c>
      <c r="B36" s="128"/>
      <c r="C36" s="128"/>
      <c r="D36" s="128"/>
      <c r="E36" s="128"/>
      <c r="F36" s="128"/>
      <c r="G36" s="128"/>
      <c r="H36" s="128"/>
      <c r="N36" s="60"/>
      <c r="O36" s="60"/>
    </row>
    <row r="37" spans="1:19" s="59" customFormat="1" ht="24" customHeight="1">
      <c r="A37" s="61"/>
      <c r="B37" s="61"/>
      <c r="C37" s="61"/>
      <c r="D37" s="61"/>
      <c r="E37" s="61"/>
      <c r="F37" s="61"/>
      <c r="G37" s="61"/>
      <c r="H37" s="61"/>
      <c r="N37" s="60"/>
      <c r="O37" s="60"/>
    </row>
    <row r="38" spans="1:19" s="59" customFormat="1" ht="19.5" customHeight="1">
      <c r="A38" s="129" t="s">
        <v>60</v>
      </c>
      <c r="B38" s="129"/>
      <c r="C38" s="129"/>
      <c r="D38" s="129"/>
      <c r="E38" s="129" t="s">
        <v>61</v>
      </c>
      <c r="F38" s="129"/>
      <c r="G38" s="129"/>
      <c r="H38" s="129"/>
      <c r="L38" s="2"/>
      <c r="M38" s="2"/>
      <c r="N38" s="5"/>
      <c r="O38" s="5"/>
      <c r="P38" s="2"/>
      <c r="Q38" s="2"/>
      <c r="R38" s="2"/>
      <c r="S38" s="2"/>
    </row>
    <row r="39" spans="1:19">
      <c r="A39" s="62" t="s">
        <v>62</v>
      </c>
      <c r="C39" s="6"/>
      <c r="E39" s="130" t="s">
        <v>63</v>
      </c>
      <c r="F39" s="130"/>
      <c r="G39" s="130"/>
      <c r="H39" s="130"/>
    </row>
    <row r="40" spans="1:19">
      <c r="A40" s="130" t="s">
        <v>64</v>
      </c>
      <c r="B40" s="130"/>
      <c r="C40" s="130"/>
      <c r="D40" s="130"/>
      <c r="E40" s="130" t="s">
        <v>65</v>
      </c>
      <c r="F40" s="130"/>
      <c r="G40" s="130"/>
      <c r="H40" s="130"/>
    </row>
    <row r="41" spans="1:19">
      <c r="A41" s="130" t="s">
        <v>66</v>
      </c>
      <c r="B41" s="130"/>
      <c r="C41" s="130"/>
      <c r="D41" s="130"/>
      <c r="E41" s="130" t="s">
        <v>67</v>
      </c>
      <c r="F41" s="130"/>
      <c r="G41" s="130"/>
      <c r="H41" s="130"/>
    </row>
    <row r="42" spans="1:19">
      <c r="A42" s="6"/>
      <c r="F42" s="6"/>
      <c r="H42" s="63"/>
    </row>
    <row r="43" spans="1:19">
      <c r="A43" s="11"/>
    </row>
  </sheetData>
  <mergeCells count="44">
    <mergeCell ref="A41:D41"/>
    <mergeCell ref="E41:H41"/>
    <mergeCell ref="A38:D38"/>
    <mergeCell ref="E38:H38"/>
    <mergeCell ref="E39:H39"/>
    <mergeCell ref="A40:D40"/>
    <mergeCell ref="E40:H40"/>
    <mergeCell ref="A29:H29"/>
    <mergeCell ref="A30:E30"/>
    <mergeCell ref="A32:H32"/>
    <mergeCell ref="A35:H35"/>
    <mergeCell ref="A36:H36"/>
    <mergeCell ref="A25:B25"/>
    <mergeCell ref="C25:G25"/>
    <mergeCell ref="A26:B26"/>
    <mergeCell ref="C26:G26"/>
    <mergeCell ref="A27:B27"/>
    <mergeCell ref="C27:G27"/>
    <mergeCell ref="A22:B22"/>
    <mergeCell ref="C22:G22"/>
    <mergeCell ref="A23:B23"/>
    <mergeCell ref="C23:G23"/>
    <mergeCell ref="A24:B24"/>
    <mergeCell ref="C24:G24"/>
    <mergeCell ref="A19:H19"/>
    <mergeCell ref="A20:B20"/>
    <mergeCell ref="C20:G20"/>
    <mergeCell ref="A21:B21"/>
    <mergeCell ref="C21:G21"/>
    <mergeCell ref="B16:C16"/>
    <mergeCell ref="A17:C18"/>
    <mergeCell ref="F17:F18"/>
    <mergeCell ref="G17:G18"/>
    <mergeCell ref="H17:H18"/>
    <mergeCell ref="L9:S10"/>
    <mergeCell ref="B10:C10"/>
    <mergeCell ref="B11:C11"/>
    <mergeCell ref="B14:C14"/>
    <mergeCell ref="B15:C15"/>
    <mergeCell ref="F1:H1"/>
    <mergeCell ref="B7:D7"/>
    <mergeCell ref="F7:H8"/>
    <mergeCell ref="B8:D8"/>
    <mergeCell ref="A9:H9"/>
  </mergeCells>
  <phoneticPr fontId="25" type="noConversion"/>
  <hyperlinks>
    <hyperlink ref="A4" r:id="rId1" xr:uid="{00000000-0004-0000-0000-000000000000}"/>
  </hyperlinks>
  <printOptions horizontalCentered="1"/>
  <pageMargins left="0.59055118110236227" right="0.59055118110236227" top="0.35433070866141736" bottom="0.31496062992125984" header="0.35433070866141736" footer="0.31496062992125984"/>
  <pageSetup paperSize="9" scale="88" orientation="portrait" useFirstPageNumber="1" horizontalDpi="4294967295" verticalDpi="4294967295"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view="pageBreakPreview" zoomScaleNormal="115" workbookViewId="0">
      <selection activeCell="A27" sqref="A27"/>
    </sheetView>
  </sheetViews>
  <sheetFormatPr defaultColWidth="9" defaultRowHeight="15.6" customHeight="1"/>
  <cols>
    <col min="1" max="1" width="12.21875" style="64" customWidth="1"/>
    <col min="2" max="2" width="7" style="65" customWidth="1"/>
    <col min="3" max="3" width="12.6640625" style="65" customWidth="1"/>
    <col min="4" max="4" width="21.88671875" style="65" customWidth="1"/>
    <col min="5" max="5" width="10.88671875" style="65" customWidth="1"/>
    <col min="6" max="6" width="9.6640625" style="66" customWidth="1"/>
    <col min="7" max="7" width="14.109375" style="67" customWidth="1"/>
    <col min="8" max="8" width="15.88671875" style="65" customWidth="1"/>
    <col min="9" max="9" width="13.44140625" style="65" customWidth="1"/>
    <col min="10" max="10" width="11.33203125" style="65" customWidth="1"/>
    <col min="11" max="11" width="9" style="65" customWidth="1"/>
    <col min="12" max="12" width="9.33203125" style="65" customWidth="1"/>
    <col min="13" max="13" width="9" style="68" customWidth="1"/>
    <col min="14" max="14" width="11.33203125" style="68" customWidth="1"/>
    <col min="15" max="15" width="39.88671875" style="65" customWidth="1"/>
    <col min="16" max="16" width="9" style="65" customWidth="1"/>
    <col min="17" max="16384" width="9" style="65"/>
  </cols>
  <sheetData>
    <row r="1" spans="1:15" s="69" customFormat="1" ht="17.25" customHeight="1">
      <c r="A1" s="131" t="s">
        <v>68</v>
      </c>
      <c r="B1" s="131"/>
      <c r="C1" s="131"/>
      <c r="D1" s="131"/>
      <c r="E1" s="131"/>
      <c r="F1" s="131"/>
      <c r="G1" s="131"/>
      <c r="M1" s="70"/>
      <c r="N1" s="70"/>
    </row>
    <row r="2" spans="1:15" ht="13.5" customHeight="1">
      <c r="F2" s="71" t="s">
        <v>69</v>
      </c>
      <c r="G2" s="72" t="s">
        <v>70</v>
      </c>
      <c r="H2" s="65" t="s">
        <v>70</v>
      </c>
    </row>
    <row r="3" spans="1:15" ht="15" customHeight="1">
      <c r="F3" s="71" t="s">
        <v>71</v>
      </c>
      <c r="G3" s="72" t="s">
        <v>72</v>
      </c>
    </row>
    <row r="4" spans="1:15">
      <c r="A4" s="73" t="s">
        <v>73</v>
      </c>
      <c r="B4" s="74" t="s">
        <v>74</v>
      </c>
      <c r="C4" s="74"/>
      <c r="D4" s="74"/>
      <c r="F4" s="74"/>
      <c r="G4" s="75"/>
      <c r="H4" s="66"/>
    </row>
    <row r="5" spans="1:15" ht="33" customHeight="1">
      <c r="B5" s="132" t="s">
        <v>75</v>
      </c>
      <c r="C5" s="132"/>
      <c r="D5" s="132"/>
      <c r="E5" s="132"/>
      <c r="F5" s="132"/>
      <c r="G5" s="132"/>
      <c r="H5" s="76"/>
    </row>
    <row r="6" spans="1:15" ht="5.25" customHeight="1">
      <c r="B6" s="77"/>
      <c r="C6" s="77"/>
      <c r="D6" s="77"/>
      <c r="E6" s="77"/>
      <c r="F6" s="77"/>
      <c r="G6" s="77"/>
    </row>
    <row r="7" spans="1:15">
      <c r="A7" s="73" t="s">
        <v>76</v>
      </c>
      <c r="B7" s="133" t="s">
        <v>77</v>
      </c>
      <c r="C7" s="133"/>
      <c r="D7" s="133"/>
      <c r="E7" s="133"/>
      <c r="F7" s="133"/>
    </row>
    <row r="8" spans="1:15" ht="54" customHeight="1">
      <c r="B8" s="134" t="s">
        <v>78</v>
      </c>
      <c r="C8" s="134"/>
      <c r="D8" s="134"/>
      <c r="E8" s="134"/>
      <c r="F8" s="134"/>
      <c r="G8" s="134"/>
    </row>
    <row r="9" spans="1:15" ht="6" customHeight="1">
      <c r="B9" s="78"/>
      <c r="C9" s="78"/>
      <c r="D9" s="78"/>
      <c r="E9" s="78"/>
      <c r="F9" s="78"/>
      <c r="G9" s="78"/>
    </row>
    <row r="10" spans="1:15" s="79" customFormat="1" ht="49.5" customHeight="1">
      <c r="A10" s="135" t="s">
        <v>79</v>
      </c>
      <c r="B10" s="135"/>
      <c r="C10" s="135"/>
      <c r="D10" s="135"/>
      <c r="E10" s="135"/>
      <c r="F10" s="135"/>
      <c r="G10" s="135"/>
      <c r="M10" s="80"/>
      <c r="N10" s="80"/>
    </row>
    <row r="11" spans="1:15" s="79" customFormat="1" ht="27" customHeight="1">
      <c r="A11" s="136" t="s">
        <v>80</v>
      </c>
      <c r="B11" s="136"/>
      <c r="C11" s="136"/>
      <c r="D11" s="136"/>
      <c r="E11" s="136"/>
      <c r="F11" s="136"/>
      <c r="G11" s="136"/>
      <c r="M11" s="80"/>
      <c r="N11" s="80"/>
    </row>
    <row r="12" spans="1:15" s="80" customFormat="1" ht="30.75" customHeight="1">
      <c r="A12" s="81" t="s">
        <v>81</v>
      </c>
      <c r="B12" s="137" t="s">
        <v>20</v>
      </c>
      <c r="C12" s="138"/>
      <c r="D12" s="82" t="s">
        <v>82</v>
      </c>
      <c r="E12" s="83" t="s">
        <v>22</v>
      </c>
      <c r="F12" s="83" t="s">
        <v>24</v>
      </c>
      <c r="G12" s="83" t="s">
        <v>25</v>
      </c>
      <c r="L12" s="84"/>
      <c r="M12" s="85"/>
      <c r="N12" s="86"/>
      <c r="O12" s="141"/>
    </row>
    <row r="13" spans="1:15" s="79" customFormat="1" ht="18" customHeight="1">
      <c r="A13" s="88">
        <v>1</v>
      </c>
      <c r="B13" s="139">
        <v>50655</v>
      </c>
      <c r="C13" s="140"/>
      <c r="D13" s="89" t="s">
        <v>83</v>
      </c>
      <c r="E13" s="90">
        <v>1000</v>
      </c>
      <c r="F13" s="91">
        <v>15.35</v>
      </c>
      <c r="G13" s="91">
        <f t="shared" ref="G13:G18" si="0">F13*E13</f>
        <v>15350</v>
      </c>
      <c r="J13" s="92"/>
      <c r="M13" s="80"/>
      <c r="N13" s="80"/>
      <c r="O13" s="141"/>
    </row>
    <row r="14" spans="1:15" s="79" customFormat="1" ht="18" customHeight="1">
      <c r="A14" s="88">
        <v>2</v>
      </c>
      <c r="B14" s="139">
        <v>50755</v>
      </c>
      <c r="C14" s="140"/>
      <c r="D14" s="89" t="s">
        <v>84</v>
      </c>
      <c r="E14" s="90">
        <v>1000</v>
      </c>
      <c r="F14" s="93">
        <v>15.35</v>
      </c>
      <c r="G14" s="91">
        <f t="shared" si="0"/>
        <v>15350</v>
      </c>
      <c r="J14" s="92"/>
      <c r="M14" s="80"/>
      <c r="N14" s="80"/>
      <c r="O14" s="87"/>
    </row>
    <row r="15" spans="1:15" s="79" customFormat="1" ht="18" customHeight="1">
      <c r="A15" s="88">
        <v>3</v>
      </c>
      <c r="B15" s="139">
        <v>50665</v>
      </c>
      <c r="C15" s="140"/>
      <c r="D15" s="89" t="s">
        <v>85</v>
      </c>
      <c r="E15" s="90">
        <v>1000</v>
      </c>
      <c r="F15" s="93">
        <v>3.58</v>
      </c>
      <c r="G15" s="91">
        <f t="shared" si="0"/>
        <v>3580</v>
      </c>
      <c r="J15" s="92"/>
      <c r="M15" s="80"/>
      <c r="N15" s="80"/>
      <c r="O15" s="87"/>
    </row>
    <row r="16" spans="1:15" s="79" customFormat="1" ht="18" customHeight="1">
      <c r="A16" s="88">
        <v>4</v>
      </c>
      <c r="B16" s="139">
        <v>50765</v>
      </c>
      <c r="C16" s="140"/>
      <c r="D16" s="89" t="s">
        <v>86</v>
      </c>
      <c r="E16" s="90">
        <v>1000</v>
      </c>
      <c r="F16" s="93">
        <v>3.58</v>
      </c>
      <c r="G16" s="91">
        <f t="shared" si="0"/>
        <v>3580</v>
      </c>
      <c r="J16" s="92"/>
      <c r="M16" s="80"/>
      <c r="N16" s="80"/>
      <c r="O16" s="87"/>
    </row>
    <row r="17" spans="1:15" s="79" customFormat="1" ht="18" customHeight="1">
      <c r="A17" s="88">
        <v>5</v>
      </c>
      <c r="B17" s="139">
        <v>50720</v>
      </c>
      <c r="C17" s="140"/>
      <c r="D17" s="89" t="s">
        <v>87</v>
      </c>
      <c r="E17" s="90">
        <v>1000</v>
      </c>
      <c r="F17" s="93">
        <v>17.63</v>
      </c>
      <c r="G17" s="91">
        <f t="shared" si="0"/>
        <v>17630</v>
      </c>
      <c r="J17" s="92"/>
      <c r="M17" s="80"/>
      <c r="N17" s="80"/>
      <c r="O17" s="87"/>
    </row>
    <row r="18" spans="1:15" s="79" customFormat="1" ht="18" customHeight="1">
      <c r="A18" s="94">
        <v>6</v>
      </c>
      <c r="B18" s="139">
        <v>50730</v>
      </c>
      <c r="C18" s="140"/>
      <c r="D18" s="95" t="s">
        <v>88</v>
      </c>
      <c r="E18" s="90">
        <v>1000</v>
      </c>
      <c r="F18" s="91">
        <v>17.63</v>
      </c>
      <c r="G18" s="91">
        <f t="shared" si="0"/>
        <v>17630</v>
      </c>
      <c r="J18" s="92"/>
      <c r="M18" s="80"/>
      <c r="N18" s="80"/>
      <c r="O18" s="87"/>
    </row>
    <row r="19" spans="1:15" s="80" customFormat="1" ht="16.5" customHeight="1">
      <c r="A19" s="142" t="s">
        <v>89</v>
      </c>
      <c r="B19" s="143"/>
      <c r="C19" s="144"/>
      <c r="D19" s="96"/>
      <c r="E19" s="148">
        <f>SUM(E13:E18)</f>
        <v>6000</v>
      </c>
      <c r="F19" s="150"/>
      <c r="G19" s="152">
        <f>SUM(G13:G18)</f>
        <v>73120</v>
      </c>
      <c r="H19" s="97"/>
    </row>
    <row r="20" spans="1:15" s="80" customFormat="1" ht="13.5" customHeight="1">
      <c r="A20" s="145"/>
      <c r="B20" s="146"/>
      <c r="C20" s="147"/>
      <c r="D20" s="98"/>
      <c r="E20" s="149"/>
      <c r="F20" s="151"/>
      <c r="G20" s="153"/>
    </row>
    <row r="21" spans="1:15" s="80" customFormat="1" ht="30" hidden="1" customHeight="1">
      <c r="A21" s="154" t="s">
        <v>90</v>
      </c>
      <c r="B21" s="154"/>
      <c r="C21" s="154"/>
      <c r="D21" s="154"/>
      <c r="E21" s="154"/>
      <c r="F21" s="154"/>
      <c r="G21" s="154"/>
      <c r="J21" s="99"/>
    </row>
    <row r="22" spans="1:15" s="80" customFormat="1" ht="30" customHeight="1">
      <c r="A22" s="155" t="s">
        <v>91</v>
      </c>
      <c r="B22" s="155"/>
      <c r="C22" s="155"/>
      <c r="D22" s="155"/>
      <c r="E22" s="155"/>
      <c r="F22" s="155"/>
      <c r="G22" s="155"/>
      <c r="J22" s="99"/>
    </row>
    <row r="23" spans="1:15" s="80" customFormat="1" ht="21.75" customHeight="1">
      <c r="A23" s="73" t="s">
        <v>92</v>
      </c>
      <c r="B23" s="100"/>
      <c r="C23" s="100"/>
      <c r="D23" s="100"/>
      <c r="E23" s="100"/>
      <c r="F23" s="100"/>
      <c r="G23" s="100"/>
      <c r="J23" s="99"/>
    </row>
    <row r="24" spans="1:15" s="80" customFormat="1" ht="21.75" customHeight="1">
      <c r="A24" s="73" t="s">
        <v>93</v>
      </c>
      <c r="B24" s="100"/>
      <c r="C24" s="100"/>
      <c r="D24" s="100"/>
      <c r="E24" s="100"/>
      <c r="F24" s="100"/>
      <c r="G24" s="100"/>
      <c r="J24" s="99"/>
    </row>
    <row r="25" spans="1:15" s="80" customFormat="1" ht="21.75" customHeight="1">
      <c r="A25" s="73" t="s">
        <v>94</v>
      </c>
      <c r="B25" s="100"/>
      <c r="C25" s="100"/>
      <c r="D25" s="100"/>
      <c r="E25" s="100"/>
      <c r="F25" s="100"/>
      <c r="G25" s="100"/>
      <c r="J25" s="99"/>
    </row>
    <row r="26" spans="1:15" s="80" customFormat="1" ht="1.5" customHeight="1">
      <c r="A26" s="100"/>
      <c r="B26" s="100"/>
      <c r="C26" s="100"/>
      <c r="D26" s="100"/>
      <c r="E26" s="100"/>
      <c r="F26" s="100"/>
      <c r="G26" s="100"/>
      <c r="J26" s="99"/>
    </row>
    <row r="27" spans="1:15" s="80" customFormat="1" ht="30" customHeight="1">
      <c r="A27" s="155" t="s">
        <v>95</v>
      </c>
      <c r="B27" s="155"/>
      <c r="C27" s="155"/>
      <c r="D27" s="155"/>
      <c r="E27" s="155"/>
      <c r="F27" s="155"/>
      <c r="G27" s="155"/>
      <c r="J27" s="99"/>
    </row>
    <row r="28" spans="1:15" s="101" customFormat="1" ht="19.5" customHeight="1">
      <c r="A28" s="73" t="s">
        <v>96</v>
      </c>
      <c r="C28" s="73"/>
      <c r="D28" s="73"/>
      <c r="G28" s="73"/>
      <c r="M28" s="102"/>
      <c r="N28" s="102"/>
    </row>
    <row r="29" spans="1:15" s="101" customFormat="1" ht="19.5" customHeight="1">
      <c r="A29" s="73" t="s">
        <v>97</v>
      </c>
      <c r="C29" s="73"/>
      <c r="D29" s="73"/>
      <c r="G29" s="76"/>
      <c r="M29" s="102"/>
      <c r="N29" s="102"/>
    </row>
    <row r="30" spans="1:15" s="101" customFormat="1" ht="19.5" customHeight="1">
      <c r="A30" s="73" t="s">
        <v>98</v>
      </c>
      <c r="C30" s="103"/>
      <c r="D30" s="103"/>
      <c r="G30" s="104"/>
      <c r="M30" s="102"/>
      <c r="N30" s="102"/>
    </row>
    <row r="31" spans="1:15" s="101" customFormat="1" ht="19.5" customHeight="1">
      <c r="A31" s="73" t="s">
        <v>99</v>
      </c>
      <c r="C31" s="73"/>
      <c r="D31" s="73"/>
      <c r="G31" s="73"/>
      <c r="M31" s="102"/>
      <c r="N31" s="102"/>
    </row>
    <row r="32" spans="1:15" s="101" customFormat="1" ht="19.5" customHeight="1">
      <c r="A32" s="73" t="s">
        <v>100</v>
      </c>
      <c r="C32" s="73"/>
      <c r="D32" s="73"/>
      <c r="G32" s="73"/>
      <c r="M32" s="102"/>
      <c r="N32" s="102"/>
    </row>
    <row r="33" spans="1:14" s="101" customFormat="1" ht="19.5" customHeight="1">
      <c r="A33" s="73" t="s">
        <v>101</v>
      </c>
      <c r="C33" s="73"/>
      <c r="D33" s="73"/>
      <c r="G33" s="73"/>
      <c r="M33" s="102"/>
      <c r="N33" s="102"/>
    </row>
    <row r="34" spans="1:14" s="80" customFormat="1" ht="30" customHeight="1">
      <c r="A34" s="155" t="s">
        <v>102</v>
      </c>
      <c r="B34" s="155"/>
      <c r="C34" s="155"/>
      <c r="D34" s="155"/>
      <c r="E34" s="155"/>
      <c r="F34" s="155"/>
      <c r="G34" s="155"/>
      <c r="J34" s="99"/>
    </row>
    <row r="35" spans="1:14" s="101" customFormat="1" ht="19.5" customHeight="1">
      <c r="A35" s="73" t="s">
        <v>103</v>
      </c>
      <c r="C35" s="73"/>
      <c r="D35" s="73"/>
      <c r="G35" s="73"/>
      <c r="M35" s="102"/>
      <c r="N35" s="102"/>
    </row>
    <row r="36" spans="1:14" s="101" customFormat="1" ht="19.5" customHeight="1">
      <c r="A36" s="73" t="s">
        <v>104</v>
      </c>
      <c r="C36" s="73"/>
      <c r="D36" s="73"/>
      <c r="G36" s="76"/>
      <c r="M36" s="102"/>
      <c r="N36" s="102"/>
    </row>
    <row r="37" spans="1:14" s="80" customFormat="1" ht="30" customHeight="1">
      <c r="A37" s="155" t="s">
        <v>105</v>
      </c>
      <c r="B37" s="155"/>
      <c r="C37" s="155"/>
      <c r="D37" s="155"/>
      <c r="E37" s="155"/>
      <c r="F37" s="155"/>
      <c r="G37" s="155"/>
      <c r="J37" s="99"/>
    </row>
    <row r="38" spans="1:14" s="101" customFormat="1" ht="19.5" customHeight="1">
      <c r="A38" s="73" t="s">
        <v>106</v>
      </c>
      <c r="C38" s="73"/>
      <c r="D38" s="73"/>
      <c r="G38" s="73"/>
      <c r="M38" s="102"/>
      <c r="N38" s="102"/>
    </row>
    <row r="39" spans="1:14" s="101" customFormat="1" ht="19.5" customHeight="1">
      <c r="A39" s="73" t="s">
        <v>107</v>
      </c>
      <c r="C39" s="73"/>
      <c r="D39" s="73"/>
      <c r="G39" s="73"/>
      <c r="M39" s="102"/>
      <c r="N39" s="102"/>
    </row>
    <row r="40" spans="1:14" s="80" customFormat="1" ht="30" customHeight="1">
      <c r="A40" s="155" t="s">
        <v>108</v>
      </c>
      <c r="B40" s="155"/>
      <c r="C40" s="155"/>
      <c r="D40" s="155"/>
      <c r="E40" s="155"/>
      <c r="F40" s="155"/>
      <c r="G40" s="155"/>
      <c r="J40" s="99"/>
    </row>
    <row r="41" spans="1:14" s="101" customFormat="1" ht="19.5" customHeight="1">
      <c r="A41" s="133" t="s">
        <v>109</v>
      </c>
      <c r="B41" s="133"/>
      <c r="C41" s="133"/>
      <c r="D41" s="133"/>
      <c r="E41" s="133"/>
      <c r="F41" s="133"/>
      <c r="G41" s="133"/>
      <c r="M41" s="102"/>
      <c r="N41" s="102"/>
    </row>
    <row r="42" spans="1:14" s="101" customFormat="1" ht="44.25" customHeight="1">
      <c r="A42" s="156" t="s">
        <v>110</v>
      </c>
      <c r="B42" s="156"/>
      <c r="C42" s="156"/>
      <c r="D42" s="156"/>
      <c r="E42" s="156"/>
      <c r="F42" s="156"/>
      <c r="G42" s="156"/>
      <c r="M42" s="102"/>
      <c r="N42" s="102"/>
    </row>
    <row r="43" spans="1:14" s="80" customFormat="1" ht="7.5" customHeight="1">
      <c r="A43" s="100"/>
      <c r="B43" s="100"/>
      <c r="C43" s="100"/>
      <c r="D43" s="100"/>
      <c r="E43" s="100"/>
      <c r="F43" s="100"/>
      <c r="G43" s="100"/>
      <c r="J43" s="99"/>
    </row>
    <row r="44" spans="1:14" s="80" customFormat="1" ht="30" customHeight="1">
      <c r="A44" s="155" t="s">
        <v>111</v>
      </c>
      <c r="B44" s="155"/>
      <c r="C44" s="155"/>
      <c r="D44" s="155"/>
      <c r="E44" s="155"/>
      <c r="F44" s="155"/>
      <c r="G44" s="155"/>
      <c r="J44" s="99"/>
    </row>
    <row r="45" spans="1:14" s="101" customFormat="1" ht="58.5" customHeight="1">
      <c r="A45" s="157" t="s">
        <v>112</v>
      </c>
      <c r="B45" s="158"/>
      <c r="C45" s="158"/>
      <c r="D45" s="158"/>
      <c r="E45" s="158"/>
      <c r="F45" s="158"/>
      <c r="G45" s="158"/>
      <c r="M45" s="102"/>
      <c r="N45" s="102"/>
    </row>
    <row r="46" spans="1:14" s="80" customFormat="1" ht="7.5" customHeight="1">
      <c r="A46" s="100"/>
      <c r="B46" s="100"/>
      <c r="C46" s="100"/>
      <c r="D46" s="100"/>
      <c r="E46" s="100"/>
      <c r="F46" s="100"/>
      <c r="G46" s="100"/>
      <c r="J46" s="99"/>
    </row>
    <row r="47" spans="1:14" s="80" customFormat="1" ht="30" customHeight="1">
      <c r="A47" s="155" t="s">
        <v>113</v>
      </c>
      <c r="B47" s="155"/>
      <c r="C47" s="155"/>
      <c r="D47" s="155"/>
      <c r="E47" s="155"/>
      <c r="F47" s="155"/>
      <c r="G47" s="155"/>
      <c r="J47" s="99"/>
    </row>
    <row r="48" spans="1:14" s="101" customFormat="1" ht="46.5" customHeight="1">
      <c r="A48" s="159" t="s">
        <v>114</v>
      </c>
      <c r="B48" s="159"/>
      <c r="C48" s="159"/>
      <c r="D48" s="159"/>
      <c r="E48" s="159"/>
      <c r="F48" s="159"/>
      <c r="G48" s="159"/>
      <c r="M48" s="102"/>
      <c r="N48" s="102"/>
    </row>
    <row r="49" spans="1:14" s="101" customFormat="1" ht="19.5" customHeight="1">
      <c r="A49" s="73"/>
      <c r="C49" s="73"/>
      <c r="D49" s="73"/>
      <c r="G49" s="73"/>
      <c r="M49" s="102"/>
      <c r="N49" s="102"/>
    </row>
    <row r="50" spans="1:14" s="101" customFormat="1" ht="19.5" customHeight="1">
      <c r="A50" s="155" t="s">
        <v>115</v>
      </c>
      <c r="B50" s="155"/>
      <c r="C50" s="155"/>
      <c r="D50" s="155"/>
      <c r="E50" s="155"/>
      <c r="F50" s="155"/>
      <c r="G50" s="155"/>
      <c r="M50" s="102"/>
      <c r="N50" s="102"/>
    </row>
    <row r="51" spans="1:14" s="101" customFormat="1" ht="19.5" customHeight="1">
      <c r="A51" s="105" t="s">
        <v>116</v>
      </c>
      <c r="B51" s="105"/>
      <c r="C51" s="105"/>
      <c r="D51" s="105"/>
      <c r="E51" s="105" t="s">
        <v>117</v>
      </c>
      <c r="F51" s="105"/>
      <c r="G51" s="105"/>
      <c r="M51" s="102"/>
      <c r="N51" s="102"/>
    </row>
    <row r="52" spans="1:14" s="101" customFormat="1" ht="19.5" customHeight="1">
      <c r="A52" s="73" t="str">
        <f>B4</f>
        <v>CHONGQING ALUSTARS INTERNATIONAL CO.,LTD.</v>
      </c>
      <c r="B52" s="73"/>
      <c r="C52" s="73"/>
      <c r="E52" s="73" t="str">
        <f>B7</f>
        <v>Montesa Honda, S.A.U.</v>
      </c>
      <c r="F52" s="106"/>
      <c r="G52" s="107"/>
      <c r="M52" s="102"/>
      <c r="N52" s="102"/>
    </row>
    <row r="53" spans="1:14">
      <c r="A53" s="73" t="s">
        <v>118</v>
      </c>
      <c r="C53" s="108"/>
      <c r="E53" s="73" t="s">
        <v>118</v>
      </c>
      <c r="G53" s="109"/>
    </row>
    <row r="54" spans="1:14">
      <c r="A54" s="73" t="s">
        <v>119</v>
      </c>
      <c r="E54" s="73" t="s">
        <v>119</v>
      </c>
    </row>
  </sheetData>
  <mergeCells count="31">
    <mergeCell ref="A50:G50"/>
    <mergeCell ref="A42:G42"/>
    <mergeCell ref="A44:G44"/>
    <mergeCell ref="A45:G45"/>
    <mergeCell ref="A47:G47"/>
    <mergeCell ref="A48:G48"/>
    <mergeCell ref="A27:G27"/>
    <mergeCell ref="A34:G34"/>
    <mergeCell ref="A37:G37"/>
    <mergeCell ref="A40:G40"/>
    <mergeCell ref="A41:G41"/>
    <mergeCell ref="E19:E20"/>
    <mergeCell ref="F19:F20"/>
    <mergeCell ref="G19:G20"/>
    <mergeCell ref="A21:G21"/>
    <mergeCell ref="A22:G22"/>
    <mergeCell ref="B15:C15"/>
    <mergeCell ref="B16:C16"/>
    <mergeCell ref="B17:C17"/>
    <mergeCell ref="B18:C18"/>
    <mergeCell ref="A19:C20"/>
    <mergeCell ref="A11:G11"/>
    <mergeCell ref="B12:C12"/>
    <mergeCell ref="B13:C13"/>
    <mergeCell ref="O12:O13"/>
    <mergeCell ref="B14:C14"/>
    <mergeCell ref="A1:G1"/>
    <mergeCell ref="B5:G5"/>
    <mergeCell ref="B7:F7"/>
    <mergeCell ref="B8:G8"/>
    <mergeCell ref="A10:G10"/>
  </mergeCells>
  <phoneticPr fontId="25" type="noConversion"/>
  <printOptions horizontalCentered="1"/>
  <pageMargins left="0.62992125984252001" right="0.62992125984252001" top="0.35433070866141703" bottom="0.31496062992126" header="0.35433070866141703" footer="0.31496062992126"/>
  <pageSetup paperSize="9" scale="94" orientation="portrait" useFirstPageNumber="1"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PI</vt:lpstr>
      <vt:lpstr>contract</vt:lpstr>
      <vt:lpstr>contract!Print_Area</vt:lpstr>
      <vt:lpstr>PI!Print_Area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2026-04-24T03:43:57Z</cp:lastPrinted>
  <dcterms:created xsi:type="dcterms:W3CDTF">2025-11-18T13:13:00Z</dcterms:created>
  <dcterms:modified xsi:type="dcterms:W3CDTF">2026-04-28T05:35:37Z</dcterms:modified>
</cp:coreProperties>
</file>