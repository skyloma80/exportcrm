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9.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9" name="PI" state="visible" r:id="rId4"/>
    <sheet sheetId="8" name="contract" state="hidden" r:id="rId5"/>
  </sheets>
  <definedNames>
    <definedName name="_xlnm.Print_Area" localSheetId="0">'PI'!$A1:$H34</definedName>
    <definedName name="_xlnm.Print_Area" localSheetId="1">'contract'!$A1:$G57</definedName>
  </definedNames>
  <calcPr calcId="171027"/>
</workbook>
</file>

<file path=xl/sharedStrings.xml><?xml version="1.0" encoding="utf-8"?>
<sst xmlns="http://schemas.openxmlformats.org/spreadsheetml/2006/main" count="250" uniqueCount="125">
  <si>
    <t>PROFORMA INVOICE</t>
  </si>
  <si>
    <t>Chongqing Alustars International Co.,Ltd.</t>
  </si>
  <si>
    <t xml:space="preserve">Supplier ID </t>
  </si>
  <si>
    <t/>
  </si>
  <si>
    <t xml:space="preserve"> VAT 91500109MADTT20C92</t>
  </si>
  <si>
    <t>PO No.</t>
  </si>
  <si>
    <t xml:space="preserve"> </t>
  </si>
  <si>
    <t xml:space="preserve"> www.alustars.com</t>
  </si>
  <si>
    <t>Invoice No.</t>
  </si>
  <si>
    <t>A2605-001</t>
  </si>
  <si>
    <t>Date:</t>
  </si>
  <si>
    <t>May 11, 2026</t>
  </si>
  <si>
    <t xml:space="preserve">TO: </t>
  </si>
  <si>
    <t>Montesa Honda S.A.U.</t>
  </si>
  <si>
    <t>Add.</t>
  </si>
  <si>
    <t xml:space="preserve">Carrer del Mar del Nord, Num 1
08130 SANTA PERPETUA DE MOGODA
Barcelona, SPAIN
Tel: (+34)93 574 0770
</t>
  </si>
  <si>
    <t>NIF:</t>
  </si>
  <si>
    <t>A-28-637098</t>
  </si>
  <si>
    <t>No.</t>
  </si>
  <si>
    <t>Part Number</t>
  </si>
  <si>
    <t>Description</t>
  </si>
  <si>
    <t>Quantity</t>
  </si>
  <si>
    <t>Unit</t>
  </si>
  <si>
    <t>Unit Price</t>
  </si>
  <si>
    <t>Amount</t>
  </si>
  <si>
    <t>50720-MKT-D000</t>
  </si>
  <si>
    <t>ARM, R STEP</t>
  </si>
  <si>
    <t>PCS</t>
  </si>
  <si>
    <t>50755-MKT-D000</t>
  </si>
  <si>
    <t>HOLDER, L STEP</t>
  </si>
  <si>
    <t>50730-MKT-D000</t>
  </si>
  <si>
    <t>ARM, L STEP</t>
  </si>
  <si>
    <t>50655MKT_D002</t>
  </si>
  <si>
    <t>0080-2062-0843</t>
  </si>
  <si>
    <t>Pilot Light Torch Tube</t>
  </si>
  <si>
    <t>00110025</t>
  </si>
  <si>
    <t>N.W.:0.19kgs</t>
  </si>
  <si>
    <t>50655-MKT-D000</t>
  </si>
  <si>
    <t>HOLDER, R STEP</t>
  </si>
  <si>
    <t>F25007</t>
  </si>
  <si>
    <t>Heat sink 1KW according to 3D without logo, machined aluminum 6061 + cataphoresis + matte black liquid paint</t>
  </si>
  <si>
    <t>50765-MKT-D000</t>
  </si>
  <si>
    <t>BRACKET, L STEP</t>
  </si>
  <si>
    <t>TOTAL</t>
  </si>
  <si>
    <t>Terms and Conditions</t>
  </si>
  <si>
    <t xml:space="preserve">    Payment Term:</t>
  </si>
  <si>
    <t>T/T 30% advance (1492.50 euros), 70% before shipment (3482.50 euros)</t>
  </si>
  <si>
    <t xml:space="preserve">    Price Term:</t>
  </si>
  <si>
    <t>FOB</t>
  </si>
  <si>
    <t>EXW Shenzhen</t>
  </si>
  <si>
    <t xml:space="preserve">    Country of Origin:</t>
  </si>
  <si>
    <t>China</t>
  </si>
  <si>
    <t xml:space="preserve">    Country of Destination:</t>
  </si>
  <si>
    <t>Spain</t>
  </si>
  <si>
    <t xml:space="preserve">    Port of Loading:</t>
  </si>
  <si>
    <t>Ningbo</t>
  </si>
  <si>
    <t>Shenzhen</t>
  </si>
  <si>
    <t xml:space="preserve">    Port of Discharge:</t>
  </si>
  <si>
    <t>Barcelona</t>
  </si>
  <si>
    <t xml:space="preserve">    Mode of Shipment:</t>
  </si>
  <si>
    <t>Sea</t>
  </si>
  <si>
    <t>TBD</t>
  </si>
  <si>
    <t xml:space="preserve">    Time of Delivery</t>
  </si>
  <si>
    <t>2026-05-31</t>
  </si>
  <si>
    <t>25 days</t>
  </si>
  <si>
    <t>Remittance Instructions</t>
  </si>
  <si>
    <t xml:space="preserve">    1. BENEFICIARY NAME: CHONGQING ALUSTARS INTERNATIONAL CO.,LTD
    2. ACCOUNT NUMBER: 123917886435000
    3. BENEFICIARY BANK: China Merchants Bank, Chongqing Branch
    4. SWIFT CODE: CMBCCNBS245</t>
  </si>
  <si>
    <t xml:space="preserve">    1. BENEFICIARY NAME:CHONGQING ALUSTARS INTERNATIONAL CO.,LTD </t>
  </si>
  <si>
    <t>Signed by</t>
  </si>
  <si>
    <t xml:space="preserve">    Carlos Feliu
    VP of Business Development                                                      (Company Seal)</t>
  </si>
  <si>
    <t>China Office</t>
  </si>
  <si>
    <t>Spain Office</t>
  </si>
  <si>
    <t>No.194,Jiarui Avenue,Beibei District, 400707 Chongqing, China</t>
  </si>
  <si>
    <t>Valencia 264 Principal, 08007 Barcelona, Spain</t>
  </si>
  <si>
    <t>Tel: +86 15923354664</t>
  </si>
  <si>
    <t>Tel: (+34) 607630594</t>
  </si>
  <si>
    <t>Email: z.zela@alustars.com</t>
  </si>
  <si>
    <t>Email: c.feliu@alustars.com</t>
  </si>
  <si>
    <t>SALES CONTRACT</t>
  </si>
  <si>
    <t>Contract No.:</t>
  </si>
  <si>
    <t>A2602-003</t>
  </si>
  <si>
    <t xml:space="preserve"> Date: </t>
  </si>
  <si>
    <t>2026/3/20</t>
  </si>
  <si>
    <t>THE SELLER:</t>
  </si>
  <si>
    <t>CHONGQING ALUSTARS INTERNATIONAL CO.,LTD.</t>
  </si>
  <si>
    <t xml:space="preserve">No.194, Jiarui Avenue,Beibei District, Chongqing 400707,China
TAX ID 91500109MADTT20C93</t>
  </si>
  <si>
    <t xml:space="preserve">THE BUYER: </t>
  </si>
  <si>
    <t>Montesa Honda, S.A.U.</t>
  </si>
  <si>
    <t xml:space="preserve">Carrer del Mar del Nord, Num 1
08130 SANTA PERPETUA DE MOGODA
Barcelona, SPAIN
N.I.F. A-28-637098 / VAT No.ES A28/637098</t>
  </si>
  <si>
    <t>This Sales Confirmation is made by and between the Seller and the Buyer, whereby the seller agrees to sell and the buyer agrees to buy the under-mentioned goods subject to the terms and conditions stipulated below:</t>
  </si>
  <si>
    <t>1. Description of Goods</t>
  </si>
  <si>
    <t>Item No.</t>
  </si>
  <si>
    <t>Part Name</t>
  </si>
  <si>
    <t>BRACKET, R STEP</t>
  </si>
  <si>
    <t>Total:</t>
  </si>
  <si>
    <t>SAY TOTAL EURO SEVENTY THREE THOUSAND ONE HUNDRED AND TWENTY ONLY.</t>
  </si>
  <si>
    <t xml:space="preserve">2. Packaging </t>
  </si>
  <si>
    <t>Each product is packed in an individual package with proper protection</t>
  </si>
  <si>
    <t>Boxes not exceed 15kgs, on which put a label with barcode as specified</t>
  </si>
  <si>
    <t>Material must be palletized</t>
  </si>
  <si>
    <t>3. Shipping Terms</t>
  </si>
  <si>
    <t>Port of Loading: Shenzhen, China</t>
  </si>
  <si>
    <t>Port of Destination: Barcelona, Spain</t>
  </si>
  <si>
    <t xml:space="preserve">Shpping Date: On or before </t>
  </si>
  <si>
    <t>Shipping Method: By air</t>
  </si>
  <si>
    <t>Partial Shipment: Allowed</t>
  </si>
  <si>
    <t>Transshipment: Allowed</t>
  </si>
  <si>
    <t>4. Price &amp; Payment Terms</t>
  </si>
  <si>
    <t>Price Term: in EUR, DDP without VAT</t>
  </si>
  <si>
    <t xml:space="preserve">Payment Term: the buyer shall make payment via T/T 60 days after arrival of goods </t>
  </si>
  <si>
    <t>5. Freight / Insurance / Duties &amp; Taxes</t>
  </si>
  <si>
    <t xml:space="preserve">Freight, Insurance and import duties shall be covered by the Seller. </t>
  </si>
  <si>
    <t>Import VAT shall be covered by the Buyer.</t>
  </si>
  <si>
    <t>6. Inspection</t>
  </si>
  <si>
    <r>
      <rPr>
        <b/>
        <family val="2"/>
        <sz val="10"/>
        <rFont val="Univers"/>
      </rPr>
      <t xml:space="preserve">Pre-shipment Inspection: </t>
    </r>
    <r>
      <rPr>
        <family val="2"/>
        <sz val="10"/>
        <rFont val="Univers"/>
      </rPr>
      <t>the goods will be inspected by the Seller and sumbmit qualified inspection report.</t>
    </r>
  </si>
  <si>
    <r>
      <rPr>
        <b/>
        <family val="2"/>
        <sz val="10"/>
        <rFont val="Univers"/>
      </rPr>
      <t>Post-delivery Inspection:</t>
    </r>
    <r>
      <rPr>
        <family val="2"/>
        <sz val="10"/>
        <rFont val="Univers"/>
      </rPr>
      <t xml:space="preserve"> the Buyer shall have the right to inspect the goods upon arrival. Any claim for quality discrepancy must be made within 30 days of delivery, supported by a survey report issued by a reputable inspction agency.</t>
    </r>
  </si>
  <si>
    <t>7. Delivery Address</t>
  </si>
  <si>
    <t xml:space="preserve">C/ del MAR del NORD, No.1
P.Ind.LA TPRRE DEL RECTOR
08130 STA.PERPETUA de MOGODA
tel.(+34) 93 574 07 70</t>
  </si>
  <si>
    <t>8. General Conditions</t>
  </si>
  <si>
    <t>This order is subject to the terms and conditions of the General Agreement for Purchase of Parts signed by both parties on Dec 5, 2025. All provisions of the General Agreement, including but not limited to intellectual property rights, confidentiality, and liability clauses, shall apply fully to this transaction.</t>
  </si>
  <si>
    <t>9. Signatures</t>
  </si>
  <si>
    <t xml:space="preserve"> THE SELLER:                                                                   </t>
  </si>
  <si>
    <t xml:space="preserve"> THE BUYER:</t>
  </si>
  <si>
    <t>Authorized Signature:</t>
  </si>
  <si>
    <t>Date: Mar.20,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</si>
</sst>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 #,##0.00_ ;_ * -#,##0.00_ ;_ * &quot;-&quot;??_ ;_ @_ "/>
    <numFmt numFmtId="165" formatCode="_ * #,##0_ ;_ * -#,##0_ ;_ * &quot;-&quot;??_ ;_ @_ "/>
    <numFmt numFmtId="166" formatCode="yyyy-mm-dd;@"/>
    <numFmt numFmtId="167" formatCode="#&quot;-MKTD000&quot;"/>
    <numFmt numFmtId="168" formatCode="#,##0_ "/>
    <numFmt numFmtId="169" formatCode="#,##0.0000_ "/>
    <numFmt numFmtId="170" formatCode="#,##0.00_ "/>
    <numFmt numFmtId="171" formatCode="[$EUR] #,##0.00;[Red][$EUR] #,##0.00"/>
    <numFmt numFmtId="172" formatCode="&quot;US$&quot;#,##0.00;-&quot;US$&quot;#,##0.00"/>
    <numFmt numFmtId="173" formatCode="_ * #,##0.00000_ ;_ * -#,##0.00000_ ;_ * &quot;-&quot;??.000_ ;_ @_ "/>
    <numFmt numFmtId="174" formatCode="_ * #,##0.0000_ ;_ * -#,##0.0000_ ;_ * &quot;-&quot;??.00_ ;_ @_ "/>
    <numFmt numFmtId="175" formatCode="_ * #,##0.000_ ;_ * -#,##0.000_ ;_ * &quot;-&quot;??.0_ ;_ @_ "/>
  </numFmts>
  <fonts count="25" x14ac:knownFonts="1">
    <font>
      <color theme="1"/>
      <family val="2"/>
      <scheme val="minor"/>
      <sz val="11"/>
      <name val="Calibri"/>
    </font>
    <font>
      <family val="2"/>
      <sz val="12"/>
      <name val="Calibri"/>
    </font>
    <font>
      <b/>
      <family val="2"/>
      <sz val="16"/>
      <name val="Calibri"/>
    </font>
    <font>
      <b/>
      <family val="2"/>
      <sz val="23"/>
      <name val="Calibri"/>
    </font>
    <font>
      <family val="2"/>
      <sz val="16"/>
      <name val="Calibri"/>
    </font>
    <font>
      <family val="2"/>
      <sz val="11"/>
      <name val="Calibri"/>
    </font>
    <font>
      <color theme="5"/>
      <family val="2"/>
      <sz val="16"/>
      <name val="Calibri"/>
    </font>
    <font>
      <b/>
      <family val="2"/>
      <sz val="11"/>
      <name val="Calibri"/>
    </font>
    <font>
      <family val="2"/>
      <strike/>
      <sz val="11"/>
      <name val="Calibri"/>
    </font>
    <font>
      <family val="2"/>
      <sz val="24"/>
      <name val="Calibri"/>
    </font>
    <font>
      <b/>
      <color theme="4"/>
      <family val="2"/>
      <sz val="11"/>
      <name val="Calibri"/>
    </font>
    <font>
      <b/>
      <color theme="4" tint="-0.249977111117893"/>
      <family val="2"/>
      <sz val="12"/>
      <name val="Calibri"/>
    </font>
    <font>
      <family val="2"/>
      <sz val="10"/>
      <name val="Calibri"/>
    </font>
    <font>
      <color rgb="FF00B0F0"/>
      <family val="2"/>
      <sz val="11"/>
      <name val="Calibri"/>
    </font>
    <font>
      <color theme="5"/>
      <family val="2"/>
      <sz val="12"/>
      <name val="Calibri"/>
    </font>
    <font>
      <family val="2"/>
      <sz val="12"/>
      <name val="Univers"/>
    </font>
    <font>
      <b/>
      <family val="2"/>
      <sz val="15"/>
      <name val="Univers"/>
    </font>
    <font>
      <family val="2"/>
      <sz val="10"/>
      <name val="Univers"/>
    </font>
    <font>
      <b/>
      <color rgb="FF000000"/>
      <family val="2"/>
      <sz val="11"/>
      <name val="Univers"/>
    </font>
    <font>
      <b/>
      <u/>
      <family val="2"/>
      <sz val="12"/>
      <name val="Univers"/>
    </font>
    <font>
      <family val="2"/>
      <sz val="8"/>
      <name val="Univers"/>
    </font>
    <font>
      <b/>
      <family val="2"/>
      <sz val="10"/>
      <name val="Univers"/>
    </font>
    <font>
      <family val="2"/>
      <sz val="9"/>
      <name val="Univers"/>
    </font>
    <font>
      <family val="2"/>
      <sz val="11"/>
      <name val="Univers"/>
    </font>
    <font>
      <b/>
      <family val="2"/>
      <sz val="11"/>
      <name val="Univers"/>
    </font>
  </fonts>
  <fills count="4">
    <fill>
      <patternFill patternType="none"/>
    </fill>
    <fill>
      <patternFill patternType="gray125"/>
    </fill>
    <fill>
      <patternFill patternType="solid">
        <fgColor theme="3" tint="0.7999206518753624"/>
        <bgColor indexed="64"/>
      </patternFill>
    </fill>
    <fill>
      <patternFill patternType="solid">
        <fgColor theme="2"/>
        <bgColor indexed="64"/>
      </patternFill>
    </fill>
  </fills>
  <borders count="18">
    <border>
      <left/>
      <right/>
      <top/>
      <bottom/>
      <diagonal/>
    </border>
    <border>
      <left/>
      <right/>
      <top/>
      <bottom style="medium">
        <color theme="2" tint="-0.09994811853389081"/>
      </bottom>
      <diagonal/>
    </border>
    <border>
      <left/>
      <right/>
      <top/>
      <bottom style="medium">
        <color theme="2" tint="-0.09985656300546282"/>
      </bottom>
      <diagonal/>
    </border>
    <border>
      <left/>
      <right/>
      <top style="medium">
        <color theme="2" tint="-0.09985656300546282"/>
      </top>
      <bottom/>
      <diagonal/>
    </border>
    <border>
      <left/>
      <right/>
      <top/>
      <bottom style="thin"/>
      <diagonal/>
    </border>
    <border>
      <left style="thin"/>
      <right/>
      <top style="thin"/>
      <bottom style="thin"/>
      <diagonal/>
    </border>
    <border>
      <left/>
      <right style="thin"/>
      <top style="thin"/>
      <bottom style="thin"/>
      <diagonal/>
    </border>
    <border>
      <left/>
      <right/>
      <top style="thin"/>
      <bottom style="thin"/>
      <diagonal/>
    </border>
    <border>
      <left style="thin"/>
      <right style="thin"/>
      <top style="thin"/>
      <bottom style="thin"/>
      <diagonal/>
    </border>
    <border>
      <left style="thin"/>
      <right/>
      <top/>
      <bottom style="thin"/>
      <diagonal/>
    </border>
    <border>
      <left style="thin"/>
      <right style="thin"/>
      <top/>
      <bottom style="thin"/>
      <diagonal/>
    </border>
    <border>
      <left style="thin"/>
      <right/>
      <top/>
      <bottom/>
      <diagonal/>
    </border>
    <border>
      <left style="thin"/>
      <right/>
      <top style="thin"/>
      <bottom/>
      <diagonal/>
    </border>
    <border>
      <left/>
      <right/>
      <top style="thin"/>
      <bottom/>
      <diagonal/>
    </border>
    <border>
      <left/>
      <right style="thin"/>
      <top style="thin"/>
      <bottom/>
      <diagonal/>
    </border>
    <border>
      <left style="thin"/>
      <right style="thin"/>
      <top style="thin"/>
      <bottom/>
      <diagonal/>
    </border>
    <border>
      <left style="thin"/>
      <right style="thin"/>
      <top/>
      <bottom/>
      <diagonal/>
    </border>
    <border>
      <left/>
      <right style="thin"/>
      <top/>
      <bottom style="thin"/>
      <diagonal/>
    </border>
  </borders>
  <cellStyleXfs count="1">
    <xf numFmtId="0" fontId="0" fillId="0" borderId="0"/>
  </cellStyleXfs>
  <cellXfs count="143">
    <xf numFmtId="0" fontId="0" fillId="0" borderId="0" xfId="0"/>
    <xf numFmtId="49" fontId="1" fillId="0" borderId="0" xfId="0" applyNumberFormat="1" applyFont="1" applyAlignment="1">
      <alignment horizontal="center" vertical="center"/>
    </xf>
    <xf numFmtId="164" fontId="1" fillId="0" borderId="0" xfId="0" applyNumberFormat="1" applyFont="1" applyAlignment="1">
      <alignment vertical="center"/>
    </xf>
    <xf numFmtId="165" fontId="1" fillId="0" borderId="0" xfId="0" applyNumberFormat="1" applyFont="1" applyAlignment="1">
      <alignment horizontal="right" vertical="center"/>
    </xf>
    <xf numFmtId="165" fontId="1" fillId="0" borderId="0" xfId="0" applyNumberFormat="1" applyFont="1" applyAlignment="1">
      <alignment vertical="center"/>
    </xf>
    <xf numFmtId="164" fontId="1" fillId="0" borderId="0" xfId="0" applyNumberFormat="1" applyFont="1" applyAlignment="1">
      <alignment horizontal="center" vertical="center"/>
    </xf>
    <xf numFmtId="0" fontId="1" fillId="0" borderId="0" xfId="0" applyFont="1" applyAlignment="1">
      <alignment vertical="center"/>
    </xf>
    <xf numFmtId="0" fontId="2" fillId="0" borderId="0" xfId="0" applyFont="1"/>
    <xf numFmtId="0" fontId="3" fillId="0" borderId="0" xfId="0" applyFont="1" applyAlignment="1">
      <alignment horizontal="left" vertical="center"/>
    </xf>
    <xf numFmtId="0" fontId="1" fillId="0" borderId="0" xfId="0" applyFont="1" applyAlignment="1">
      <alignment horizontal="center" vertical="center"/>
    </xf>
    <xf numFmtId="164" fontId="4" fillId="0" borderId="0" xfId="0" applyNumberFormat="1" applyFont="1" applyAlignment="1">
      <alignment horizontal="left" vertical="top"/>
    </xf>
    <xf numFmtId="164" fontId="5" fillId="0" borderId="0" xfId="0" applyNumberFormat="1" applyFont="1" applyAlignment="1">
      <alignment horizontal="left" vertical="center"/>
    </xf>
    <xf numFmtId="49" fontId="1" fillId="0" borderId="0" xfId="0" applyNumberFormat="1" applyFont="1" applyAlignment="1">
      <alignment horizontal="left" vertical="center"/>
    </xf>
    <xf numFmtId="165" fontId="1" fillId="0" borderId="0" xfId="0" applyNumberFormat="1" applyFont="1" applyAlignment="1">
      <alignment horizontal="left" vertical="center"/>
    </xf>
    <xf numFmtId="164" fontId="5" fillId="0" borderId="0" xfId="0" applyNumberFormat="1" applyFont="1" applyAlignment="1">
      <alignment vertical="center"/>
    </xf>
    <xf numFmtId="49" fontId="4" fillId="0" borderId="0" xfId="0" applyNumberFormat="1" applyFont="1" applyAlignment="1">
      <alignment horizontal="left" vertical="center"/>
    </xf>
    <xf numFmtId="49" fontId="5" fillId="0" borderId="0" xfId="0" applyNumberFormat="1" applyFont="1" applyAlignment="1">
      <alignment horizontal="left" vertical="center"/>
    </xf>
    <xf numFmtId="164" fontId="5" fillId="0" borderId="0" xfId="0" applyNumberFormat="1" applyFont="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center" vertical="top" wrapText="1"/>
    </xf>
    <xf numFmtId="0" fontId="1" fillId="0" borderId="0" xfId="0" applyFont="1" applyAlignment="1">
      <alignment vertical="top"/>
    </xf>
    <xf numFmtId="164" fontId="1" fillId="0" borderId="0" xfId="0" applyNumberFormat="1" applyFont="1" applyAlignment="1">
      <alignment vertical="top"/>
    </xf>
    <xf numFmtId="164" fontId="1" fillId="0" borderId="0" xfId="0" applyNumberFormat="1" applyFont="1" applyAlignment="1">
      <alignment horizontal="center" vertical="top"/>
    </xf>
    <xf numFmtId="49" fontId="1"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164" fontId="5" fillId="0" borderId="1" xfId="0" applyNumberFormat="1" applyFont="1" applyBorder="1" applyAlignment="1">
      <alignment vertical="center"/>
    </xf>
    <xf numFmtId="164" fontId="5" fillId="0" borderId="1" xfId="0" applyNumberFormat="1" applyFont="1" applyBorder="1" applyAlignment="1">
      <alignment horizontal="center" vertical="center"/>
    </xf>
    <xf numFmtId="164" fontId="5" fillId="0" borderId="1" xfId="0" applyNumberFormat="1" applyFont="1" applyBorder="1" applyAlignment="1">
      <alignment horizontal="left" vertical="center"/>
    </xf>
    <xf numFmtId="0" fontId="7" fillId="0" borderId="0" xfId="0" applyFont="1" applyAlignment="1">
      <alignment horizontal="center" vertical="top"/>
    </xf>
    <xf numFmtId="164" fontId="5" fillId="0" borderId="0" xfId="0" applyNumberFormat="1" applyFont="1" applyAlignment="1">
      <alignment vertical="top"/>
    </xf>
    <xf numFmtId="0" fontId="7"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top"/>
    </xf>
    <xf numFmtId="164" fontId="5" fillId="0" borderId="0" xfId="0" applyNumberFormat="1" applyFont="1" applyAlignment="1">
      <alignment horizontal="center" vertical="top"/>
    </xf>
    <xf numFmtId="164" fontId="5" fillId="0" borderId="0" xfId="0" applyNumberFormat="1" applyFont="1" applyAlignment="1">
      <alignment horizontal="left" vertical="top"/>
    </xf>
    <xf numFmtId="49" fontId="5" fillId="0" borderId="0" xfId="0" applyNumberFormat="1" applyFont="1" applyAlignment="1">
      <alignment horizontal="right" vertical="top"/>
    </xf>
    <xf numFmtId="164" fontId="1" fillId="0" borderId="0" xfId="0" applyNumberFormat="1" applyFont="1" applyAlignment="1">
      <alignment horizontal="left" vertical="top"/>
    </xf>
    <xf numFmtId="0" fontId="5" fillId="0" borderId="0" xfId="0" applyFont="1" applyAlignment="1">
      <alignment horizontal="left" vertical="top" wrapText="1"/>
    </xf>
    <xf numFmtId="166" fontId="5" fillId="0" borderId="0" xfId="0" applyNumberFormat="1" applyFont="1" applyAlignment="1">
      <alignment horizontal="center" vertical="top" wrapText="1"/>
    </xf>
    <xf numFmtId="166" fontId="8" fillId="0" borderId="0" xfId="0" applyNumberFormat="1" applyFont="1" applyAlignment="1">
      <alignment horizontal="center" vertical="top" wrapText="1"/>
    </xf>
    <xf numFmtId="49" fontId="5" fillId="0" borderId="0" xfId="0" applyNumberFormat="1" applyFont="1" applyAlignment="1">
      <alignment horizontal="left" vertical="top" wrapText="1"/>
    </xf>
    <xf numFmtId="0" fontId="9" fillId="0" borderId="0" xfId="0" applyFont="1" applyAlignment="1">
      <alignment horizontal="center" vertical="center" wrapText="1"/>
    </xf>
    <xf numFmtId="164" fontId="7" fillId="2" borderId="0" xfId="0" applyNumberFormat="1" applyFont="1" applyFill="1" applyAlignment="1">
      <alignment vertical="center" wrapText="1"/>
    </xf>
    <xf numFmtId="164" fontId="10" fillId="2" borderId="0" xfId="0" applyNumberFormat="1" applyFont="1" applyFill="1" applyAlignment="1">
      <alignment horizontal="center" vertical="center"/>
    </xf>
    <xf numFmtId="0" fontId="10" fillId="3" borderId="0" xfId="0" applyFont="1" applyFill="1" applyAlignment="1">
      <alignment horizontal="center" vertical="center" wrapText="1"/>
    </xf>
    <xf numFmtId="164" fontId="10" fillId="3" borderId="0" xfId="0" applyNumberFormat="1" applyFont="1" applyFill="1" applyAlignment="1">
      <alignment horizontal="center" vertical="center"/>
    </xf>
    <xf numFmtId="0" fontId="5" fillId="0" borderId="0" xfId="0" applyFont="1" applyAlignment="1">
      <alignment horizontal="center" vertical="center" wrapText="1"/>
    </xf>
    <xf numFmtId="167" fontId="5" fillId="0" borderId="0" xfId="0" applyNumberFormat="1" applyFont="1" applyAlignment="1">
      <alignment horizontal="center" vertical="center" wrapText="1"/>
    </xf>
    <xf numFmtId="0" fontId="5" fillId="0" borderId="0" xfId="0" applyFont="1" applyAlignment="1">
      <alignment horizontal="left" vertical="center" wrapText="1"/>
    </xf>
    <xf numFmtId="168" fontId="5" fillId="0" borderId="0" xfId="0" applyNumberFormat="1" applyFont="1" applyAlignment="1">
      <alignment horizontal="center" vertical="center" wrapText="1"/>
    </xf>
    <xf numFmtId="169" fontId="5" fillId="0" borderId="0" xfId="0" applyNumberFormat="1" applyFont="1" applyAlignment="1">
      <alignment horizontal="center" vertical="center" wrapText="1"/>
    </xf>
    <xf numFmtId="170" fontId="5" fillId="0" borderId="0" xfId="0" applyNumberFormat="1" applyFont="1" applyAlignment="1">
      <alignment horizontal="center" vertical="center" wrapText="1"/>
    </xf>
    <xf numFmtId="164" fontId="5" fillId="0" borderId="0" xfId="0" applyNumberFormat="1" applyFont="1" applyAlignment="1">
      <alignment horizontal="right" vertical="center"/>
    </xf>
    <xf numFmtId="3" fontId="5" fillId="0" borderId="0" xfId="0" applyNumberFormat="1" applyFont="1" applyAlignment="1">
      <alignment horizontal="center" vertical="center" wrapText="1"/>
    </xf>
    <xf numFmtId="0" fontId="7" fillId="0" borderId="0" xfId="0" applyFont="1" applyAlignment="1">
      <alignment horizontal="center" vertical="center" wrapText="1"/>
    </xf>
    <xf numFmtId="171" fontId="7" fillId="0" borderId="0" xfId="0" applyNumberFormat="1" applyFont="1" applyAlignment="1">
      <alignment vertical="center" wrapText="1"/>
    </xf>
    <xf numFmtId="172" fontId="5" fillId="0" borderId="0" xfId="0" applyNumberFormat="1" applyFont="1" applyAlignment="1">
      <alignment horizontal="center" vertical="center"/>
    </xf>
    <xf numFmtId="0" fontId="11" fillId="0" borderId="0" xfId="0" applyFont="1" applyAlignment="1">
      <alignment horizontal="left" wrapText="1"/>
    </xf>
    <xf numFmtId="173" fontId="5" fillId="0" borderId="0" xfId="0" applyNumberFormat="1" applyFont="1" applyAlignment="1">
      <alignment horizontal="center" vertical="center"/>
    </xf>
    <xf numFmtId="0" fontId="5" fillId="0" borderId="0" xfId="0" applyFont="1" applyAlignment="1">
      <alignment horizontal="left" wrapText="1"/>
    </xf>
    <xf numFmtId="0" fontId="10" fillId="0" borderId="0" xfId="0" applyFont="1" applyAlignment="1">
      <alignment horizontal="left" wrapText="1"/>
    </xf>
    <xf numFmtId="0" fontId="7" fillId="0" borderId="0" xfId="0" applyFont="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top" wrapText="1"/>
    </xf>
    <xf numFmtId="173" fontId="5" fillId="0" borderId="0" xfId="0" applyNumberFormat="1" applyFont="1" applyAlignment="1">
      <alignment horizontal="center" vertical="top"/>
    </xf>
    <xf numFmtId="164" fontId="12" fillId="0" borderId="0" xfId="0" applyNumberFormat="1" applyFont="1" applyAlignment="1">
      <alignment vertical="center"/>
    </xf>
    <xf numFmtId="164" fontId="12" fillId="0" borderId="0" xfId="0" applyNumberFormat="1" applyFont="1" applyAlignment="1">
      <alignment horizontal="center" vertical="center"/>
    </xf>
    <xf numFmtId="0" fontId="7" fillId="0" borderId="0" xfId="0" applyFont="1" applyAlignment="1">
      <alignment horizontal="justify" wrapText="1"/>
    </xf>
    <xf numFmtId="0" fontId="5" fillId="0" borderId="0" xfId="0" applyFont="1" applyAlignment="1">
      <alignment horizontal="justify" wrapText="1"/>
    </xf>
    <xf numFmtId="0" fontId="13" fillId="0" borderId="2" xfId="0" applyFont="1" applyBorder="1"/>
    <xf numFmtId="49" fontId="14" fillId="0" borderId="3" xfId="0" applyNumberFormat="1" applyFont="1" applyBorder="1" applyAlignment="1">
      <alignment horizontal="left" vertical="center"/>
    </xf>
    <xf numFmtId="0" fontId="5" fillId="0" borderId="0" xfId="0" applyFont="1" applyAlignment="1">
      <alignment vertical="center"/>
    </xf>
    <xf numFmtId="0" fontId="5" fillId="0" borderId="0" xfId="0" applyFont="1"/>
    <xf numFmtId="49" fontId="15" fillId="0" borderId="0" xfId="0" applyNumberFormat="1" applyFont="1" applyAlignment="1">
      <alignment horizontal="center" vertical="center"/>
    </xf>
    <xf numFmtId="164" fontId="15" fillId="0" borderId="0" xfId="0" applyNumberFormat="1" applyFont="1" applyAlignment="1">
      <alignment vertical="center"/>
    </xf>
    <xf numFmtId="165" fontId="15" fillId="0" borderId="0" xfId="0" applyNumberFormat="1" applyFont="1" applyAlignment="1">
      <alignment horizontal="right" vertical="center"/>
    </xf>
    <xf numFmtId="165" fontId="15" fillId="0" borderId="0" xfId="0" applyNumberFormat="1" applyFont="1" applyAlignment="1">
      <alignment vertical="center"/>
    </xf>
    <xf numFmtId="164" fontId="15"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center"/>
    </xf>
    <xf numFmtId="0" fontId="15" fillId="0" borderId="0" xfId="0" applyFont="1" applyAlignment="1">
      <alignment horizontal="center" vertical="center"/>
    </xf>
    <xf numFmtId="0" fontId="17" fillId="0" borderId="0" xfId="0" applyFont="1" applyAlignment="1">
      <alignment horizontal="right"/>
    </xf>
    <xf numFmtId="49" fontId="17" fillId="0" borderId="0" xfId="0" applyNumberFormat="1" applyFont="1" applyAlignment="1">
      <alignment horizontal="left"/>
    </xf>
    <xf numFmtId="0" fontId="17" fillId="0" borderId="0" xfId="0" applyFont="1" applyAlignment="1">
      <alignment vertical="center"/>
    </xf>
    <xf numFmtId="0" fontId="18" fillId="0" borderId="0" xfId="0" applyFont="1" applyAlignment="1">
      <alignment vertical="center"/>
    </xf>
    <xf numFmtId="165" fontId="19" fillId="0" borderId="0" xfId="0" applyNumberFormat="1" applyFont="1" applyAlignment="1">
      <alignment horizontal="right" vertical="center"/>
    </xf>
    <xf numFmtId="0" fontId="17" fillId="0" borderId="0" xfId="0" applyFont="1" applyAlignment="1">
      <alignment horizontal="left" vertical="top" wrapText="1"/>
    </xf>
    <xf numFmtId="0" fontId="17"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horizontal="left" vertical="center"/>
    </xf>
    <xf numFmtId="0" fontId="17" fillId="0" borderId="0" xfId="0" applyFont="1" applyAlignment="1">
      <alignment vertical="top" wrapText="1"/>
    </xf>
    <xf numFmtId="0" fontId="22" fillId="0" borderId="0" xfId="0" applyFont="1" applyAlignment="1">
      <alignment horizontal="left" wrapText="1"/>
    </xf>
    <xf numFmtId="164" fontId="23" fillId="0" borderId="0" xfId="0" applyNumberFormat="1" applyFont="1" applyAlignment="1">
      <alignment vertical="center"/>
    </xf>
    <xf numFmtId="0" fontId="23" fillId="0" borderId="0" xfId="0" applyFont="1" applyAlignment="1">
      <alignment horizontal="left" vertical="center" wrapText="1"/>
    </xf>
    <xf numFmtId="164" fontId="23" fillId="0" borderId="0" xfId="0" applyNumberFormat="1" applyFont="1" applyAlignment="1">
      <alignment horizontal="center" vertical="center"/>
    </xf>
    <xf numFmtId="0" fontId="24" fillId="0" borderId="4" xfId="0" applyFont="1" applyBorder="1" applyAlignment="1">
      <alignment horizontal="left" vertical="center" wrapText="1"/>
    </xf>
    <xf numFmtId="0" fontId="23" fillId="0" borderId="5" xfId="0" applyFont="1" applyBorder="1" applyAlignment="1">
      <alignment horizontal="center" vertical="center" wrapText="1"/>
    </xf>
    <xf numFmtId="164" fontId="23" fillId="0" borderId="5" xfId="0" applyNumberFormat="1" applyFont="1" applyBorder="1" applyAlignment="1">
      <alignment horizontal="center" vertical="center"/>
    </xf>
    <xf numFmtId="164" fontId="23" fillId="0" borderId="6" xfId="0" applyNumberFormat="1" applyFont="1" applyBorder="1" applyAlignment="1">
      <alignment horizontal="center" vertical="center"/>
    </xf>
    <xf numFmtId="0" fontId="23" fillId="0" borderId="7" xfId="0" applyFont="1" applyBorder="1" applyAlignment="1">
      <alignment horizontal="center" vertical="center" wrapText="1"/>
    </xf>
    <xf numFmtId="0" fontId="23" fillId="0" borderId="8" xfId="0" applyFont="1" applyBorder="1" applyAlignment="1">
      <alignment horizontal="center" vertical="center" wrapText="1"/>
    </xf>
    <xf numFmtId="169" fontId="23" fillId="0" borderId="0" xfId="0" applyNumberFormat="1" applyFont="1" applyAlignment="1">
      <alignment horizontal="center" vertical="center"/>
    </xf>
    <xf numFmtId="174" fontId="23" fillId="0" borderId="0" xfId="0" applyNumberFormat="1" applyFont="1" applyAlignment="1">
      <alignment horizontal="center" vertical="center"/>
    </xf>
    <xf numFmtId="175" fontId="23" fillId="0" borderId="0" xfId="0" applyNumberFormat="1" applyFont="1" applyAlignment="1">
      <alignment horizontal="center" vertical="center"/>
    </xf>
    <xf numFmtId="164" fontId="23" fillId="0" borderId="0" xfId="0" applyNumberFormat="1" applyFont="1" applyAlignment="1">
      <alignment horizontal="left" vertical="center"/>
    </xf>
    <xf numFmtId="0" fontId="23" fillId="0" borderId="9" xfId="0" applyFont="1" applyBorder="1" applyAlignment="1">
      <alignment horizontal="center" vertical="center" wrapText="1"/>
    </xf>
    <xf numFmtId="167" fontId="23" fillId="0" borderId="5" xfId="0" applyNumberFormat="1" applyFont="1" applyBorder="1" applyAlignment="1">
      <alignment horizontal="center" vertical="center" wrapText="1"/>
    </xf>
    <xf numFmtId="167" fontId="23" fillId="0" borderId="6" xfId="0" applyNumberFormat="1" applyFont="1" applyBorder="1" applyAlignment="1">
      <alignment horizontal="center" vertical="center" wrapText="1"/>
    </xf>
    <xf numFmtId="0" fontId="23" fillId="0" borderId="4" xfId="0" applyFont="1" applyBorder="1" applyAlignment="1">
      <alignment horizontal="left" vertical="center" wrapText="1" indent="1"/>
    </xf>
    <xf numFmtId="168" fontId="23" fillId="0" borderId="9" xfId="0" applyNumberFormat="1" applyFont="1" applyBorder="1" applyAlignment="1">
      <alignment horizontal="center" vertical="center" wrapText="1"/>
    </xf>
    <xf numFmtId="170" fontId="23" fillId="0" borderId="8" xfId="0" applyNumberFormat="1" applyFont="1" applyBorder="1" applyAlignment="1">
      <alignment horizontal="center" vertical="center" wrapText="1"/>
    </xf>
    <xf numFmtId="164" fontId="23" fillId="0" borderId="0" xfId="0" applyNumberFormat="1" applyFont="1" applyAlignment="1">
      <alignment horizontal="right" vertical="center"/>
    </xf>
    <xf numFmtId="170" fontId="23" fillId="0" borderId="10" xfId="0" applyNumberFormat="1" applyFont="1" applyBorder="1" applyAlignment="1">
      <alignment horizontal="center" vertical="center" wrapText="1"/>
    </xf>
    <xf numFmtId="0" fontId="23" fillId="0" borderId="11" xfId="0" applyFont="1" applyBorder="1" applyAlignment="1">
      <alignment horizontal="center" vertical="center" wrapText="1"/>
    </xf>
    <xf numFmtId="0" fontId="23" fillId="0" borderId="0" xfId="0" applyFont="1" applyAlignment="1">
      <alignment horizontal="left" vertical="center" wrapText="1" indent="1"/>
    </xf>
    <xf numFmtId="0" fontId="23" fillId="0" borderId="12" xfId="0" applyFont="1" applyBorder="1" applyAlignment="1">
      <alignment horizontal="center" vertical="center" wrapText="1"/>
    </xf>
    <xf numFmtId="0" fontId="23" fillId="0" borderId="13" xfId="0" applyFont="1" applyBorder="1" applyAlignment="1">
      <alignment horizontal="center" vertical="center" wrapText="1"/>
    </xf>
    <xf numFmtId="0" fontId="23" fillId="0" borderId="14" xfId="0" applyFont="1" applyBorder="1" applyAlignment="1">
      <alignment horizontal="center" vertical="center" wrapText="1"/>
    </xf>
    <xf numFmtId="3" fontId="23" fillId="0" borderId="15" xfId="0" applyNumberFormat="1" applyFont="1" applyBorder="1" applyAlignment="1">
      <alignment horizontal="center" vertical="center" wrapText="1"/>
    </xf>
    <xf numFmtId="0" fontId="23" fillId="0" borderId="16" xfId="0" applyFont="1" applyBorder="1" applyAlignment="1">
      <alignment horizontal="center" vertical="center" wrapText="1"/>
    </xf>
    <xf numFmtId="170" fontId="24" fillId="0" borderId="16" xfId="0" applyNumberFormat="1" applyFont="1" applyBorder="1" applyAlignment="1">
      <alignment horizontal="center" vertical="center" wrapText="1"/>
    </xf>
    <xf numFmtId="172" fontId="23" fillId="0" borderId="0" xfId="0" applyNumberFormat="1" applyFont="1" applyAlignment="1">
      <alignment horizontal="center" vertical="center"/>
    </xf>
    <xf numFmtId="0" fontId="23" fillId="0" borderId="4" xfId="0" applyFont="1" applyBorder="1" applyAlignment="1">
      <alignment horizontal="center" vertical="center" wrapText="1"/>
    </xf>
    <xf numFmtId="0" fontId="23" fillId="0" borderId="17" xfId="0" applyFont="1" applyBorder="1" applyAlignment="1">
      <alignment horizontal="center" vertical="center" wrapText="1"/>
    </xf>
    <xf numFmtId="3" fontId="23" fillId="0" borderId="10" xfId="0" applyNumberFormat="1" applyFont="1" applyBorder="1" applyAlignment="1">
      <alignment horizontal="center" vertical="center" wrapText="1"/>
    </xf>
    <xf numFmtId="0" fontId="23" fillId="0" borderId="10" xfId="0" applyFont="1" applyBorder="1" applyAlignment="1">
      <alignment horizontal="center" vertical="center" wrapText="1"/>
    </xf>
    <xf numFmtId="170" fontId="24" fillId="0" borderId="10" xfId="0" applyNumberFormat="1" applyFont="1" applyBorder="1" applyAlignment="1">
      <alignment horizontal="center" vertical="center" wrapText="1"/>
    </xf>
    <xf numFmtId="0" fontId="21" fillId="0" borderId="0" xfId="0" applyFont="1" applyAlignment="1">
      <alignment horizontal="left" vertical="center" wrapText="1"/>
    </xf>
    <xf numFmtId="173" fontId="23" fillId="0" borderId="0" xfId="0" applyNumberFormat="1" applyFont="1" applyAlignment="1">
      <alignment horizontal="center" vertical="center"/>
    </xf>
    <xf numFmtId="0" fontId="24" fillId="0" borderId="0" xfId="0" applyFont="1" applyAlignment="1">
      <alignment horizontal="left" vertical="center" wrapText="1"/>
    </xf>
    <xf numFmtId="164" fontId="17" fillId="0" borderId="0" xfId="0" applyNumberFormat="1" applyFont="1" applyAlignment="1">
      <alignment vertical="center"/>
    </xf>
    <xf numFmtId="164" fontId="17" fillId="0" borderId="0" xfId="0" applyNumberFormat="1" applyFont="1" applyAlignment="1">
      <alignment horizontal="center" vertical="center"/>
    </xf>
    <xf numFmtId="49" fontId="17" fillId="0" borderId="0" xfId="0" applyNumberFormat="1" applyFont="1" applyAlignment="1">
      <alignment vertical="center"/>
    </xf>
    <xf numFmtId="15" fontId="17" fillId="0" borderId="0" xfId="0" applyNumberFormat="1" applyFont="1" applyAlignment="1">
      <alignment vertical="center"/>
    </xf>
    <xf numFmtId="0" fontId="21" fillId="0" borderId="0" xfId="0" applyFont="1" applyAlignment="1">
      <alignment horizontal="justify" vertical="center" wrapText="1"/>
    </xf>
    <xf numFmtId="0" fontId="17" fillId="0" borderId="0" xfId="0" applyFont="1" applyAlignment="1">
      <alignment horizontal="left" vertical="center" wrapText="1"/>
    </xf>
    <xf numFmtId="0" fontId="17" fillId="0" borderId="0" xfId="0" applyFont="1" applyAlignment="1">
      <alignment horizontal="left" vertical="center"/>
    </xf>
    <xf numFmtId="0" fontId="17" fillId="0" borderId="0" xfId="0" applyFont="1" applyAlignment="1">
      <alignment horizontal="justify" vertical="center" wrapText="1"/>
    </xf>
    <xf numFmtId="0" fontId="17" fillId="0" borderId="0" xfId="0" applyFont="1"/>
    <xf numFmtId="165" fontId="17" fillId="0" borderId="0" xfId="0" applyNumberFormat="1" applyFont="1" applyAlignment="1">
      <alignment horizontal="right" vertical="center"/>
    </xf>
    <xf numFmtId="165" fontId="17" fillId="0" borderId="0" xfId="0" applyNumberFormat="1" applyFont="1" applyAlignment="1">
      <alignment vertical="center"/>
    </xf>
    <xf numFmtId="164" fontId="15" fillId="0" borderId="4" xfId="0" applyNumberFormat="1" applyFont="1" applyBorder="1" applyAlignment="1">
      <alignment vertical="center"/>
    </xf>
    <xf numFmtId="165" fontId="15" fillId="0" borderId="4"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9.xml"/><Relationship Id="rId5"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18963</xdr:colOff>
      <xdr:row>0</xdr:row>
      <xdr:rowOff>240064</xdr:rowOff>
    </xdr:from>
    <xdr:to>
      <xdr:col>3</xdr:col>
      <xdr:colOff>1115914</xdr:colOff>
      <xdr:row>0</xdr:row>
      <xdr:rowOff>755536</xdr:rowOff>
    </xdr:to>
    <xdr:pic>
      <xdr:nvPicPr>
        <xdr:cNvPr id="3" name="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039" t="35761" b="40182"/>
        <a:stretch>
          <a:fillRect/>
        </a:stretch>
      </xdr:blipFill>
      <xdr:spPr>
        <a:xfrm>
          <a:off x="18963" y="240064"/>
          <a:ext cx="3230551" cy="51547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alustars.com/" TargetMode="External"/></Relationships>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workbookViewId="0" zoomScale="100" zoomScaleNormal="115" view="pageBreakPreview">
      <selection activeCell="A27" sqref="A27"/>
    </sheetView>
  </sheetViews>
  <sheetFormatPr defaultRowHeight="15.6" outlineLevelRow="0" outlineLevelCol="0" x14ac:dyDescent="0" defaultColWidth="9" customHeight="1"/>
  <cols>
    <col min="1" max="1" width="12.21875" style="73" customWidth="1"/>
    <col min="2" max="2" width="7" style="74" customWidth="1"/>
    <col min="3" max="3" width="12.6640625" style="74" customWidth="1"/>
    <col min="4" max="4" width="21.88671875" style="74" customWidth="1"/>
    <col min="5" max="5" width="10.88671875" style="74" customWidth="1"/>
    <col min="6" max="6" width="9.6640625" style="75" customWidth="1"/>
    <col min="7" max="7" width="14.109375" style="76" customWidth="1"/>
    <col min="8" max="8" width="15.88671875" style="74" customWidth="1"/>
    <col min="9" max="9" width="13.44140625" style="74" customWidth="1"/>
    <col min="10" max="10" width="11.33203125" style="74" customWidth="1"/>
    <col min="11" max="11" width="9" style="74" customWidth="1"/>
    <col min="12" max="12" width="9.33203125" style="74" customWidth="1"/>
    <col min="13" max="13" width="9" style="77" customWidth="1"/>
    <col min="14" max="14" width="11.33203125" style="77" customWidth="1"/>
    <col min="15" max="15" width="39.88671875" style="74" customWidth="1"/>
    <col min="16" max="16384" width="9" style="74" customWidth="1"/>
  </cols>
  <sheetData>
    <row r="1" ht="17.25" customHeight="1" spans="1:14" s="78" customFormat="1" x14ac:dyDescent="0.25">
      <c r="A1" s="79" t="s">
        <v>78</v>
      </c>
      <c r="B1" s="79"/>
      <c r="C1" s="79"/>
      <c r="D1" s="79"/>
      <c r="E1" s="79"/>
      <c r="F1" s="79"/>
      <c r="G1" s="79"/>
      <c r="M1" s="80"/>
      <c r="N1" s="80"/>
    </row>
    <row r="2" ht="13.5" customHeight="1" spans="6:8" x14ac:dyDescent="0.25">
      <c r="F2" s="81" t="s">
        <v>79</v>
      </c>
      <c r="G2" s="82" t="s">
        <v>80</v>
      </c>
      <c r="H2" s="74" t="s">
        <v>80</v>
      </c>
    </row>
    <row r="3" ht="15" customHeight="1" spans="6:7" x14ac:dyDescent="0.25">
      <c r="F3" s="81" t="s">
        <v>81</v>
      </c>
      <c r="G3" s="82" t="s">
        <v>82</v>
      </c>
    </row>
    <row r="4" spans="1:8" x14ac:dyDescent="0.25">
      <c r="A4" s="83" t="s">
        <v>83</v>
      </c>
      <c r="B4" s="84" t="s">
        <v>84</v>
      </c>
      <c r="C4" s="84"/>
      <c r="D4" s="84"/>
      <c r="F4" s="84"/>
      <c r="G4" s="85"/>
      <c r="H4" s="75"/>
    </row>
    <row r="5" ht="33" customHeight="1" spans="1:14" s="74" customFormat="1" x14ac:dyDescent="0.25">
      <c r="A5" s="73"/>
      <c r="B5" s="86" t="s">
        <v>85</v>
      </c>
      <c r="C5" s="86"/>
      <c r="D5" s="86"/>
      <c r="E5" s="86"/>
      <c r="F5" s="86"/>
      <c r="G5" s="86"/>
      <c r="H5" s="87"/>
      <c r="M5" s="77"/>
      <c r="N5" s="77"/>
    </row>
    <row r="6" ht="5.25" customHeight="1" spans="1:14" s="74" customFormat="1" x14ac:dyDescent="0.25">
      <c r="A6" s="73"/>
      <c r="B6" s="88"/>
      <c r="C6" s="88"/>
      <c r="D6" s="88"/>
      <c r="E6" s="88"/>
      <c r="F6" s="88"/>
      <c r="G6" s="88"/>
      <c r="M6" s="77"/>
      <c r="N6" s="77"/>
    </row>
    <row r="7" spans="1:14" s="74" customFormat="1" x14ac:dyDescent="0.25">
      <c r="A7" s="83" t="s">
        <v>86</v>
      </c>
      <c r="B7" s="89" t="s">
        <v>87</v>
      </c>
      <c r="C7" s="89"/>
      <c r="D7" s="89"/>
      <c r="E7" s="89"/>
      <c r="F7" s="89"/>
      <c r="G7" s="76"/>
      <c r="M7" s="77"/>
      <c r="N7" s="77"/>
    </row>
    <row r="8" ht="54" customHeight="1" spans="1:14" s="74" customFormat="1" x14ac:dyDescent="0.25">
      <c r="A8" s="73"/>
      <c r="B8" s="90" t="s">
        <v>88</v>
      </c>
      <c r="C8" s="90"/>
      <c r="D8" s="90"/>
      <c r="E8" s="90"/>
      <c r="F8" s="90"/>
      <c r="G8" s="90"/>
      <c r="M8" s="77"/>
      <c r="N8" s="77"/>
    </row>
    <row r="9" ht="6" customHeight="1" spans="1:14" s="74" customFormat="1" x14ac:dyDescent="0.25">
      <c r="A9" s="73"/>
      <c r="B9" s="91"/>
      <c r="C9" s="91"/>
      <c r="D9" s="91"/>
      <c r="E9" s="91"/>
      <c r="F9" s="91"/>
      <c r="G9" s="91"/>
      <c r="M9" s="77"/>
      <c r="N9" s="77"/>
    </row>
    <row r="10" ht="49.5" customHeight="1" spans="1:14" s="92" customFormat="1" x14ac:dyDescent="0.25">
      <c r="A10" s="93" t="s">
        <v>89</v>
      </c>
      <c r="B10" s="93"/>
      <c r="C10" s="93"/>
      <c r="D10" s="93"/>
      <c r="E10" s="93"/>
      <c r="F10" s="93"/>
      <c r="G10" s="93"/>
      <c r="M10" s="94"/>
      <c r="N10" s="94"/>
    </row>
    <row r="11" ht="27" customHeight="1" spans="1:14" s="92" customFormat="1" x14ac:dyDescent="0.25">
      <c r="A11" s="95" t="s">
        <v>90</v>
      </c>
      <c r="B11" s="95"/>
      <c r="C11" s="95"/>
      <c r="D11" s="95"/>
      <c r="E11" s="95"/>
      <c r="F11" s="95"/>
      <c r="G11" s="95"/>
      <c r="M11" s="94"/>
      <c r="N11" s="94"/>
    </row>
    <row r="12" ht="30.75" customHeight="1" spans="1:15" s="94" customFormat="1" x14ac:dyDescent="0.25">
      <c r="A12" s="96" t="s">
        <v>91</v>
      </c>
      <c r="B12" s="97" t="s">
        <v>19</v>
      </c>
      <c r="C12" s="98"/>
      <c r="D12" s="99" t="s">
        <v>92</v>
      </c>
      <c r="E12" s="100" t="s">
        <v>21</v>
      </c>
      <c r="F12" s="100" t="s">
        <v>23</v>
      </c>
      <c r="G12" s="100" t="s">
        <v>24</v>
      </c>
      <c r="L12" s="101"/>
      <c r="M12" s="102"/>
      <c r="N12" s="103"/>
      <c r="O12" s="104"/>
    </row>
    <row r="13" ht="18" customHeight="1" spans="1:15" s="92" customFormat="1" x14ac:dyDescent="0.25">
      <c r="A13" s="105">
        <v>1</v>
      </c>
      <c r="B13" s="106">
        <v>50655</v>
      </c>
      <c r="C13" s="107"/>
      <c r="D13" s="108" t="s">
        <v>38</v>
      </c>
      <c r="E13" s="109">
        <v>1000</v>
      </c>
      <c r="F13" s="110">
        <v>15.35</v>
      </c>
      <c r="G13" s="110">
        <f t="shared" ref="G13:G18" si="0">F13*E13</f>
        <v>15350</v>
      </c>
      <c r="J13" s="111"/>
      <c r="M13" s="94"/>
      <c r="N13" s="94"/>
      <c r="O13" s="104"/>
    </row>
    <row r="14" ht="18" customHeight="1" spans="1:15" s="92" customFormat="1" x14ac:dyDescent="0.25">
      <c r="A14" s="105">
        <v>2</v>
      </c>
      <c r="B14" s="106">
        <v>50755</v>
      </c>
      <c r="C14" s="107"/>
      <c r="D14" s="108" t="s">
        <v>29</v>
      </c>
      <c r="E14" s="109">
        <v>1000</v>
      </c>
      <c r="F14" s="112">
        <v>15.35</v>
      </c>
      <c r="G14" s="110">
        <f t="shared" si="0"/>
        <v>15350</v>
      </c>
      <c r="J14" s="111"/>
      <c r="M14" s="94"/>
      <c r="N14" s="94"/>
      <c r="O14" s="104"/>
    </row>
    <row r="15" ht="18" customHeight="1" spans="1:15" s="92" customFormat="1" x14ac:dyDescent="0.25">
      <c r="A15" s="105">
        <v>3</v>
      </c>
      <c r="B15" s="106">
        <v>50665</v>
      </c>
      <c r="C15" s="107"/>
      <c r="D15" s="108" t="s">
        <v>93</v>
      </c>
      <c r="E15" s="109">
        <v>1000</v>
      </c>
      <c r="F15" s="112">
        <v>3.58</v>
      </c>
      <c r="G15" s="110">
        <f t="shared" si="0"/>
        <v>3580</v>
      </c>
      <c r="J15" s="111"/>
      <c r="M15" s="94"/>
      <c r="N15" s="94"/>
      <c r="O15" s="104"/>
    </row>
    <row r="16" ht="18" customHeight="1" spans="1:15" s="92" customFormat="1" x14ac:dyDescent="0.25">
      <c r="A16" s="105">
        <v>4</v>
      </c>
      <c r="B16" s="106">
        <v>50765</v>
      </c>
      <c r="C16" s="107"/>
      <c r="D16" s="108" t="s">
        <v>42</v>
      </c>
      <c r="E16" s="109">
        <v>1000</v>
      </c>
      <c r="F16" s="112">
        <v>3.58</v>
      </c>
      <c r="G16" s="110">
        <f t="shared" si="0"/>
        <v>3580</v>
      </c>
      <c r="J16" s="111"/>
      <c r="M16" s="94"/>
      <c r="N16" s="94"/>
      <c r="O16" s="104"/>
    </row>
    <row r="17" ht="18" customHeight="1" spans="1:15" s="92" customFormat="1" x14ac:dyDescent="0.25">
      <c r="A17" s="105">
        <v>5</v>
      </c>
      <c r="B17" s="106">
        <v>50720</v>
      </c>
      <c r="C17" s="107"/>
      <c r="D17" s="108" t="s">
        <v>26</v>
      </c>
      <c r="E17" s="109">
        <v>1000</v>
      </c>
      <c r="F17" s="112">
        <v>17.63</v>
      </c>
      <c r="G17" s="110">
        <f t="shared" si="0"/>
        <v>17630</v>
      </c>
      <c r="J17" s="111"/>
      <c r="M17" s="94"/>
      <c r="N17" s="94"/>
      <c r="O17" s="104"/>
    </row>
    <row r="18" ht="18" customHeight="1" spans="1:15" s="92" customFormat="1" x14ac:dyDescent="0.25">
      <c r="A18" s="113">
        <v>6</v>
      </c>
      <c r="B18" s="106">
        <v>50730</v>
      </c>
      <c r="C18" s="107"/>
      <c r="D18" s="114" t="s">
        <v>31</v>
      </c>
      <c r="E18" s="109">
        <v>1000</v>
      </c>
      <c r="F18" s="110">
        <v>17.63</v>
      </c>
      <c r="G18" s="110">
        <f t="shared" si="0"/>
        <v>17630</v>
      </c>
      <c r="J18" s="111"/>
      <c r="M18" s="94"/>
      <c r="N18" s="94"/>
      <c r="O18" s="104"/>
    </row>
    <row r="19" ht="16.5" customHeight="1" spans="1:8" s="94" customFormat="1" x14ac:dyDescent="0.25">
      <c r="A19" s="115" t="s">
        <v>94</v>
      </c>
      <c r="B19" s="116"/>
      <c r="C19" s="117"/>
      <c r="D19" s="117"/>
      <c r="E19" s="118">
        <f>SUM(E13:E18)</f>
        <v>6000</v>
      </c>
      <c r="F19" s="119"/>
      <c r="G19" s="120">
        <f>SUM(G13:G18)</f>
        <v>73120</v>
      </c>
      <c r="H19" s="121"/>
    </row>
    <row r="20" ht="13.5" customHeight="1" spans="1:7" s="94" customFormat="1" x14ac:dyDescent="0.25">
      <c r="A20" s="105"/>
      <c r="B20" s="122"/>
      <c r="C20" s="123"/>
      <c r="D20" s="123"/>
      <c r="E20" s="124"/>
      <c r="F20" s="125"/>
      <c r="G20" s="126"/>
    </row>
    <row r="21" ht="30" customHeight="1" hidden="1" spans="1:10" s="94" customFormat="1" x14ac:dyDescent="0.25">
      <c r="A21" s="127" t="s">
        <v>95</v>
      </c>
      <c r="B21" s="127"/>
      <c r="C21" s="127"/>
      <c r="D21" s="127"/>
      <c r="E21" s="127"/>
      <c r="F21" s="127"/>
      <c r="G21" s="127"/>
      <c r="J21" s="128"/>
    </row>
    <row r="22" ht="30" customHeight="1" spans="1:10" s="94" customFormat="1" x14ac:dyDescent="0.25">
      <c r="A22" s="129" t="s">
        <v>96</v>
      </c>
      <c r="B22" s="129"/>
      <c r="C22" s="129"/>
      <c r="D22" s="129"/>
      <c r="E22" s="129"/>
      <c r="F22" s="129"/>
      <c r="G22" s="129"/>
      <c r="J22" s="128"/>
    </row>
    <row r="23" ht="21.75" customHeight="1" spans="1:10" s="94" customFormat="1" x14ac:dyDescent="0.25">
      <c r="A23" s="83" t="s">
        <v>97</v>
      </c>
      <c r="B23" s="129"/>
      <c r="C23" s="129"/>
      <c r="D23" s="129"/>
      <c r="E23" s="129"/>
      <c r="F23" s="129"/>
      <c r="G23" s="129"/>
      <c r="J23" s="128"/>
    </row>
    <row r="24" ht="21.75" customHeight="1" spans="1:10" s="94" customFormat="1" x14ac:dyDescent="0.25">
      <c r="A24" s="83" t="s">
        <v>98</v>
      </c>
      <c r="B24" s="129"/>
      <c r="C24" s="129"/>
      <c r="D24" s="129"/>
      <c r="E24" s="129"/>
      <c r="F24" s="129"/>
      <c r="G24" s="129"/>
      <c r="J24" s="128"/>
    </row>
    <row r="25" ht="21.75" customHeight="1" spans="1:10" s="94" customFormat="1" x14ac:dyDescent="0.25">
      <c r="A25" s="83" t="s">
        <v>99</v>
      </c>
      <c r="B25" s="129"/>
      <c r="C25" s="129"/>
      <c r="D25" s="129"/>
      <c r="E25" s="129"/>
      <c r="F25" s="129"/>
      <c r="G25" s="129"/>
      <c r="J25" s="128"/>
    </row>
    <row r="26" ht="1.5" customHeight="1" spans="1:10" s="94" customFormat="1" x14ac:dyDescent="0.25">
      <c r="A26" s="129"/>
      <c r="B26" s="129"/>
      <c r="C26" s="129"/>
      <c r="D26" s="129"/>
      <c r="E26" s="129"/>
      <c r="F26" s="129"/>
      <c r="G26" s="129"/>
      <c r="J26" s="128"/>
    </row>
    <row r="27" ht="30" customHeight="1" spans="1:10" s="94" customFormat="1" x14ac:dyDescent="0.25">
      <c r="A27" s="129" t="s">
        <v>100</v>
      </c>
      <c r="B27" s="129"/>
      <c r="C27" s="129"/>
      <c r="D27" s="129"/>
      <c r="E27" s="129"/>
      <c r="F27" s="129"/>
      <c r="G27" s="129"/>
      <c r="J27" s="128"/>
    </row>
    <row r="28" ht="19.5" customHeight="1" spans="1:14" s="130" customFormat="1" x14ac:dyDescent="0.25">
      <c r="A28" s="83" t="s">
        <v>101</v>
      </c>
      <c r="C28" s="83"/>
      <c r="D28" s="83"/>
      <c r="G28" s="83"/>
      <c r="M28" s="131"/>
      <c r="N28" s="131"/>
    </row>
    <row r="29" ht="19.5" customHeight="1" spans="1:14" s="130" customFormat="1" x14ac:dyDescent="0.25">
      <c r="A29" s="83" t="s">
        <v>102</v>
      </c>
      <c r="C29" s="83"/>
      <c r="D29" s="83"/>
      <c r="G29" s="87"/>
      <c r="M29" s="131"/>
      <c r="N29" s="131"/>
    </row>
    <row r="30" ht="19.5" customHeight="1" spans="1:14" s="130" customFormat="1" x14ac:dyDescent="0.25">
      <c r="A30" s="83" t="s">
        <v>103</v>
      </c>
      <c r="C30" s="132"/>
      <c r="D30" s="132"/>
      <c r="G30" s="133"/>
      <c r="M30" s="131"/>
      <c r="N30" s="131"/>
    </row>
    <row r="31" ht="19.5" customHeight="1" spans="1:14" s="130" customFormat="1" x14ac:dyDescent="0.25">
      <c r="A31" s="83" t="s">
        <v>104</v>
      </c>
      <c r="C31" s="83"/>
      <c r="D31" s="83"/>
      <c r="G31" s="83"/>
      <c r="M31" s="131"/>
      <c r="N31" s="131"/>
    </row>
    <row r="32" ht="19.5" customHeight="1" spans="1:14" s="130" customFormat="1" x14ac:dyDescent="0.25">
      <c r="A32" s="83" t="s">
        <v>105</v>
      </c>
      <c r="C32" s="83"/>
      <c r="D32" s="83"/>
      <c r="G32" s="83"/>
      <c r="M32" s="131"/>
      <c r="N32" s="131"/>
    </row>
    <row r="33" ht="19.5" customHeight="1" spans="1:14" s="130" customFormat="1" x14ac:dyDescent="0.25">
      <c r="A33" s="83" t="s">
        <v>106</v>
      </c>
      <c r="C33" s="83"/>
      <c r="D33" s="83"/>
      <c r="G33" s="83"/>
      <c r="M33" s="131"/>
      <c r="N33" s="131"/>
    </row>
    <row r="34" ht="30" customHeight="1" spans="1:10" s="94" customFormat="1" x14ac:dyDescent="0.25">
      <c r="A34" s="129" t="s">
        <v>107</v>
      </c>
      <c r="B34" s="129"/>
      <c r="C34" s="129"/>
      <c r="D34" s="129"/>
      <c r="E34" s="129"/>
      <c r="F34" s="129"/>
      <c r="G34" s="129"/>
      <c r="J34" s="128"/>
    </row>
    <row r="35" ht="19.5" customHeight="1" spans="1:14" s="130" customFormat="1" x14ac:dyDescent="0.25">
      <c r="A35" s="83" t="s">
        <v>108</v>
      </c>
      <c r="C35" s="83"/>
      <c r="D35" s="83"/>
      <c r="G35" s="83"/>
      <c r="M35" s="131"/>
      <c r="N35" s="131"/>
    </row>
    <row r="36" ht="19.5" customHeight="1" spans="1:14" s="130" customFormat="1" x14ac:dyDescent="0.25">
      <c r="A36" s="83" t="s">
        <v>109</v>
      </c>
      <c r="C36" s="83"/>
      <c r="D36" s="83"/>
      <c r="G36" s="87"/>
      <c r="M36" s="131"/>
      <c r="N36" s="131"/>
    </row>
    <row r="37" ht="30" customHeight="1" spans="1:10" s="94" customFormat="1" x14ac:dyDescent="0.25">
      <c r="A37" s="129" t="s">
        <v>110</v>
      </c>
      <c r="B37" s="129"/>
      <c r="C37" s="129"/>
      <c r="D37" s="129"/>
      <c r="E37" s="129"/>
      <c r="F37" s="129"/>
      <c r="G37" s="129"/>
      <c r="J37" s="128"/>
    </row>
    <row r="38" ht="19.5" customHeight="1" spans="1:14" s="130" customFormat="1" x14ac:dyDescent="0.25">
      <c r="A38" s="83" t="s">
        <v>111</v>
      </c>
      <c r="C38" s="83"/>
      <c r="D38" s="83"/>
      <c r="G38" s="83"/>
      <c r="M38" s="131"/>
      <c r="N38" s="131"/>
    </row>
    <row r="39" ht="19.5" customHeight="1" spans="1:14" s="130" customFormat="1" x14ac:dyDescent="0.25">
      <c r="A39" s="83" t="s">
        <v>112</v>
      </c>
      <c r="C39" s="83"/>
      <c r="D39" s="83"/>
      <c r="G39" s="83"/>
      <c r="M39" s="131"/>
      <c r="N39" s="131"/>
    </row>
    <row r="40" ht="30" customHeight="1" spans="1:10" s="94" customFormat="1" x14ac:dyDescent="0.25">
      <c r="A40" s="129" t="s">
        <v>113</v>
      </c>
      <c r="B40" s="129"/>
      <c r="C40" s="129"/>
      <c r="D40" s="129"/>
      <c r="E40" s="129"/>
      <c r="F40" s="129"/>
      <c r="G40" s="129"/>
      <c r="J40" s="128"/>
    </row>
    <row r="41" ht="19.5" customHeight="1" spans="1:14" s="130" customFormat="1" x14ac:dyDescent="0.25">
      <c r="A41" s="89" t="s">
        <v>114</v>
      </c>
      <c r="B41" s="89"/>
      <c r="C41" s="89"/>
      <c r="D41" s="89"/>
      <c r="E41" s="89"/>
      <c r="F41" s="89"/>
      <c r="G41" s="89"/>
      <c r="M41" s="131"/>
      <c r="N41" s="131"/>
    </row>
    <row r="42" ht="44.25" customHeight="1" spans="1:14" s="130" customFormat="1" x14ac:dyDescent="0.25">
      <c r="A42" s="134" t="s">
        <v>115</v>
      </c>
      <c r="B42" s="134"/>
      <c r="C42" s="134"/>
      <c r="D42" s="134"/>
      <c r="E42" s="134"/>
      <c r="F42" s="134"/>
      <c r="G42" s="134"/>
      <c r="M42" s="131"/>
      <c r="N42" s="131"/>
    </row>
    <row r="43" ht="7.5" customHeight="1" spans="1:10" s="94" customFormat="1" x14ac:dyDescent="0.25">
      <c r="A43" s="129"/>
      <c r="B43" s="129"/>
      <c r="C43" s="129"/>
      <c r="D43" s="129"/>
      <c r="E43" s="129"/>
      <c r="F43" s="129"/>
      <c r="G43" s="129"/>
      <c r="J43" s="128"/>
    </row>
    <row r="44" ht="30" customHeight="1" spans="1:10" s="94" customFormat="1" x14ac:dyDescent="0.25">
      <c r="A44" s="129" t="s">
        <v>116</v>
      </c>
      <c r="B44" s="129"/>
      <c r="C44" s="129"/>
      <c r="D44" s="129"/>
      <c r="E44" s="129"/>
      <c r="F44" s="129"/>
      <c r="G44" s="129"/>
      <c r="J44" s="128"/>
    </row>
    <row r="45" ht="58.5" customHeight="1" spans="1:14" s="130" customFormat="1" x14ac:dyDescent="0.25">
      <c r="A45" s="135" t="s">
        <v>117</v>
      </c>
      <c r="B45" s="136"/>
      <c r="C45" s="136"/>
      <c r="D45" s="136"/>
      <c r="E45" s="136"/>
      <c r="F45" s="136"/>
      <c r="G45" s="136"/>
      <c r="M45" s="131"/>
      <c r="N45" s="131"/>
    </row>
    <row r="46" ht="7.5" customHeight="1" spans="1:10" s="94" customFormat="1" x14ac:dyDescent="0.25">
      <c r="A46" s="129"/>
      <c r="B46" s="129"/>
      <c r="C46" s="129"/>
      <c r="D46" s="129"/>
      <c r="E46" s="129"/>
      <c r="F46" s="129"/>
      <c r="G46" s="129"/>
      <c r="J46" s="128"/>
    </row>
    <row r="47" ht="30" customHeight="1" spans="1:10" s="94" customFormat="1" x14ac:dyDescent="0.25">
      <c r="A47" s="129" t="s">
        <v>118</v>
      </c>
      <c r="B47" s="129"/>
      <c r="C47" s="129"/>
      <c r="D47" s="129"/>
      <c r="E47" s="129"/>
      <c r="F47" s="129"/>
      <c r="G47" s="129"/>
      <c r="J47" s="128"/>
    </row>
    <row r="48" ht="46.5" customHeight="1" spans="1:14" s="130" customFormat="1" x14ac:dyDescent="0.25">
      <c r="A48" s="137" t="s">
        <v>119</v>
      </c>
      <c r="B48" s="137"/>
      <c r="C48" s="137"/>
      <c r="D48" s="137"/>
      <c r="E48" s="137"/>
      <c r="F48" s="137"/>
      <c r="G48" s="137"/>
      <c r="M48" s="131"/>
      <c r="N48" s="131"/>
    </row>
    <row r="49" ht="19.5" customHeight="1" spans="1:14" s="130" customFormat="1" x14ac:dyDescent="0.25">
      <c r="A49" s="83"/>
      <c r="C49" s="83"/>
      <c r="D49" s="83"/>
      <c r="G49" s="83"/>
      <c r="M49" s="131"/>
      <c r="N49" s="131"/>
    </row>
    <row r="50" ht="19.5" customHeight="1" spans="1:14" s="130" customFormat="1" x14ac:dyDescent="0.25">
      <c r="A50" s="129" t="s">
        <v>120</v>
      </c>
      <c r="B50" s="129"/>
      <c r="C50" s="129"/>
      <c r="D50" s="129"/>
      <c r="E50" s="129"/>
      <c r="F50" s="129"/>
      <c r="G50" s="129"/>
      <c r="M50" s="131"/>
      <c r="N50" s="131"/>
    </row>
    <row r="51" ht="19.5" customHeight="1" spans="1:14" s="130" customFormat="1" x14ac:dyDescent="0.25">
      <c r="A51" s="138" t="s">
        <v>121</v>
      </c>
      <c r="B51" s="138"/>
      <c r="C51" s="138"/>
      <c r="D51" s="138"/>
      <c r="E51" s="138" t="s">
        <v>122</v>
      </c>
      <c r="F51" s="138"/>
      <c r="G51" s="138"/>
      <c r="M51" s="131"/>
      <c r="N51" s="131"/>
    </row>
    <row r="52" ht="19.5" customHeight="1" spans="1:14" s="130" customFormat="1" x14ac:dyDescent="0.25">
      <c r="A52" s="83" t="str">
        <f>B4</f>
        <v>CHONGQING ALUSTARS INTERNATIONAL CO.,LTD.</v>
      </c>
      <c r="B52" s="83"/>
      <c r="C52" s="83"/>
      <c r="E52" s="83" t="str">
        <f>B7</f>
        <v>Montesa Honda, S.A.U.</v>
      </c>
      <c r="F52" s="139"/>
      <c r="G52" s="140"/>
      <c r="M52" s="131"/>
      <c r="N52" s="131"/>
    </row>
    <row r="53" spans="1:7" x14ac:dyDescent="0.25">
      <c r="A53" s="83" t="s">
        <v>123</v>
      </c>
      <c r="C53" s="141"/>
      <c r="D53" s="74"/>
      <c r="E53" s="83" t="s">
        <v>123</v>
      </c>
      <c r="G53" s="142"/>
    </row>
    <row r="54" spans="1:5" x14ac:dyDescent="0.25">
      <c r="A54" s="83" t="s">
        <v>124</v>
      </c>
      <c r="E54" s="83" t="s">
        <v>124</v>
      </c>
    </row>
  </sheetData>
  <mergeCells count="31">
    <mergeCell ref="A1:G1"/>
    <mergeCell ref="B5:G5"/>
    <mergeCell ref="B7:F7"/>
    <mergeCell ref="B8:G8"/>
    <mergeCell ref="A10:G10"/>
    <mergeCell ref="A11:G11"/>
    <mergeCell ref="B12:C12"/>
    <mergeCell ref="B13:C13"/>
    <mergeCell ref="O12:O13"/>
    <mergeCell ref="B14:C14"/>
    <mergeCell ref="B15:C15"/>
    <mergeCell ref="B16:C16"/>
    <mergeCell ref="B17:C17"/>
    <mergeCell ref="B18:C18"/>
    <mergeCell ref="A19:C20"/>
    <mergeCell ref="E19:E20"/>
    <mergeCell ref="F19:F20"/>
    <mergeCell ref="G19:G20"/>
    <mergeCell ref="A21:G21"/>
    <mergeCell ref="A22:G22"/>
    <mergeCell ref="A27:G27"/>
    <mergeCell ref="A34:G34"/>
    <mergeCell ref="A37:G37"/>
    <mergeCell ref="A40:G40"/>
    <mergeCell ref="A41:G41"/>
    <mergeCell ref="A42:G42"/>
    <mergeCell ref="A44:G44"/>
    <mergeCell ref="A45:G45"/>
    <mergeCell ref="A47:G47"/>
    <mergeCell ref="A48:G48"/>
    <mergeCell ref="A50:G50"/>
  </mergeCells>
  <printOptions horizontalCentered="1"/>
  <pageMargins left="0.62992125984252" right="0.62992125984252" top="0.354330708661417" bottom="0.31496062992126" header="0.354330708661417" footer="0.31496062992126"/>
  <pageSetup paperSize="9" orientation="portrait" horizontalDpi="4294967295" verticalDpi="4294967295" scale="94"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7"/>
  <sheetViews>
    <sheetView workbookViewId="0" zoomScale="100" zoomScaleNormal="115" view="pageBreakPreview">
      <selection activeCell="G12" sqref="G12"/>
    </sheetView>
  </sheetViews>
  <sheetFormatPr defaultRowHeight="15.6" outlineLevelRow="0" outlineLevelCol="0" x14ac:dyDescent="0" defaultColWidth="9" customHeight="1"/>
  <cols>
    <col min="1" max="1" width="6.33203125" style="1" customWidth="1"/>
    <col min="2" max="2" width="16.33203125" style="2" customWidth="1"/>
    <col min="3" max="3" width="8.44140625" style="2" customWidth="1"/>
    <col min="4" max="4" width="25.77734375" style="2" customWidth="1"/>
    <col min="5" max="5" width="10.109375" style="2" customWidth="1"/>
    <col min="6" max="6" width="10.88671875" style="2" customWidth="1"/>
    <col min="7" max="7" width="13" style="3" customWidth="1"/>
    <col min="8" max="8" width="12.88671875" style="4" customWidth="1"/>
    <col min="9" max="9" width="7" style="2" customWidth="1"/>
    <col min="10" max="10" width="10.88671875" style="2" customWidth="1"/>
    <col min="11" max="11" width="1" style="2" customWidth="1"/>
    <col min="12" max="12" width="11.6640625" style="2" customWidth="1"/>
    <col min="13" max="13" width="1.6640625" style="2" customWidth="1"/>
    <col min="14" max="14" width="10.88671875" style="5" customWidth="1"/>
    <col min="15" max="15" width="2.88671875" style="5" customWidth="1"/>
    <col min="16" max="16" width="15" style="2" customWidth="1"/>
    <col min="17" max="17" width="11.77734375" style="2" customWidth="1"/>
    <col min="18" max="18" width="12.77734375" style="2" customWidth="1"/>
    <col min="19" max="16384" width="9" style="2" customWidth="1"/>
  </cols>
  <sheetData>
    <row r="1" ht="66" customHeight="1" spans="1:15" s="6" customFormat="1" x14ac:dyDescent="0.25">
      <c r="A1" s="7"/>
      <c r="B1" s="7"/>
      <c r="C1" s="7"/>
      <c r="D1" s="7"/>
      <c r="E1" s="7"/>
      <c r="F1" s="8" t="s">
        <v>0</v>
      </c>
      <c r="G1" s="8"/>
      <c r="H1" s="8"/>
      <c r="N1" s="9"/>
      <c r="O1" s="9"/>
    </row>
    <row r="2" ht="21.9" customHeight="1" spans="1:8" x14ac:dyDescent="0.25">
      <c r="A2" s="10" t="s">
        <v>1</v>
      </c>
      <c r="B2" s="2"/>
      <c r="C2" s="2"/>
      <c r="D2" s="2"/>
      <c r="E2" s="2"/>
      <c r="F2" s="11" t="s">
        <v>2</v>
      </c>
      <c r="G2" s="12" t="s">
        <v>3</v>
      </c>
      <c r="H2" s="13"/>
    </row>
    <row r="3" ht="21.9" customHeight="1" spans="1:15" s="14" customFormat="1" x14ac:dyDescent="0.25">
      <c r="A3" s="15" t="s">
        <v>4</v>
      </c>
      <c r="B3" s="16"/>
      <c r="C3" s="14"/>
      <c r="D3" s="17"/>
      <c r="E3" s="17"/>
      <c r="F3" s="11" t="s">
        <v>5</v>
      </c>
      <c r="G3" s="11" t="s">
        <v>3</v>
      </c>
      <c r="H3" s="11" t="s">
        <v>6</v>
      </c>
      <c r="N3" s="17"/>
      <c r="O3" s="17"/>
    </row>
    <row r="4" ht="21.9" customHeight="1" spans="1:17" s="14" customFormat="1" x14ac:dyDescent="0.25">
      <c r="A4" s="18" t="s">
        <v>7</v>
      </c>
      <c r="B4" s="16"/>
      <c r="C4" s="14"/>
      <c r="D4" s="17"/>
      <c r="E4" s="17"/>
      <c r="F4" s="11" t="s">
        <v>8</v>
      </c>
      <c r="G4" s="11" t="s">
        <v>9</v>
      </c>
      <c r="H4" s="11"/>
      <c r="J4" s="19"/>
      <c r="K4" s="20"/>
      <c r="L4" s="19"/>
      <c r="M4" s="21"/>
      <c r="N4" s="22"/>
      <c r="O4" s="22"/>
      <c r="P4" s="22"/>
      <c r="Q4" s="22"/>
    </row>
    <row r="5" ht="21.75" customHeight="1" spans="1:17" s="14" customFormat="1" x14ac:dyDescent="0.25">
      <c r="A5" s="23"/>
      <c r="B5" s="24"/>
      <c r="C5" s="25"/>
      <c r="D5" s="26"/>
      <c r="E5" s="26"/>
      <c r="F5" s="27" t="s">
        <v>10</v>
      </c>
      <c r="G5" s="27" t="s">
        <v>11</v>
      </c>
      <c r="H5" s="27"/>
      <c r="J5" s="19"/>
      <c r="K5" s="20"/>
      <c r="L5" s="19"/>
      <c r="M5" s="21"/>
      <c r="N5" s="22"/>
      <c r="O5" s="22"/>
      <c r="P5" s="22"/>
      <c r="Q5" s="22"/>
    </row>
    <row r="6" ht="20.1" customHeight="1" spans="1:18" s="21" customFormat="1" x14ac:dyDescent="0.25">
      <c r="A6" s="28" t="s">
        <v>12</v>
      </c>
      <c r="B6" s="21" t="s">
        <v>13</v>
      </c>
      <c r="C6" s="29"/>
      <c r="D6" s="29"/>
      <c r="E6" s="29"/>
      <c r="F6" s="30"/>
      <c r="G6" s="31"/>
      <c r="H6" s="31"/>
      <c r="I6" s="32"/>
      <c r="J6" s="33"/>
      <c r="K6" s="33"/>
      <c r="L6" s="33"/>
      <c r="M6" s="33"/>
      <c r="N6" s="33"/>
      <c r="O6" s="33"/>
      <c r="P6" s="34"/>
      <c r="Q6" s="33"/>
      <c r="R6" s="33"/>
    </row>
    <row r="7" ht="20.1" customHeight="1" spans="1:18" s="21" customFormat="1" x14ac:dyDescent="0.25">
      <c r="A7" s="35" t="s">
        <v>14</v>
      </c>
      <c r="B7" s="36" t="s">
        <v>15</v>
      </c>
      <c r="C7" s="36"/>
      <c r="D7" s="36"/>
      <c r="E7" s="36"/>
      <c r="F7" s="37"/>
      <c r="G7" s="37"/>
      <c r="H7" s="37"/>
      <c r="I7" s="22"/>
      <c r="J7" s="38"/>
      <c r="K7" s="22"/>
      <c r="L7" s="38"/>
      <c r="M7" s="22"/>
      <c r="N7" s="38"/>
      <c r="O7" s="22"/>
      <c r="P7" s="39"/>
      <c r="Q7" s="40"/>
      <c r="R7" s="38"/>
    </row>
    <row r="8" ht="20.1" customHeight="1" spans="1:18" s="21" customFormat="1" x14ac:dyDescent="0.25">
      <c r="A8" s="35" t="s">
        <v>16</v>
      </c>
      <c r="B8" s="36" t="s">
        <v>17</v>
      </c>
      <c r="C8" s="36"/>
      <c r="D8" s="36"/>
      <c r="E8" s="36"/>
      <c r="F8" s="37"/>
      <c r="G8" s="37"/>
      <c r="H8" s="37"/>
      <c r="I8" s="19"/>
      <c r="J8" s="19"/>
      <c r="K8" s="19"/>
      <c r="L8" s="38"/>
      <c r="M8" s="22"/>
      <c r="N8" s="38"/>
      <c r="O8" s="22"/>
      <c r="P8" s="39"/>
      <c r="Q8" s="40"/>
      <c r="R8" s="38"/>
    </row>
    <row r="9" ht="23.25" customHeight="1" spans="1:19" s="14" customFormat="1" x14ac:dyDescent="0.25">
      <c r="A9" s="41" t="s">
        <v>6</v>
      </c>
      <c r="B9" s="41"/>
      <c r="C9" s="41"/>
      <c r="D9" s="41"/>
      <c r="E9" s="41"/>
      <c r="F9" s="41"/>
      <c r="G9" s="41"/>
      <c r="H9" s="41"/>
      <c r="I9" s="17"/>
      <c r="J9" s="17"/>
      <c r="K9" s="17"/>
      <c r="L9" s="42"/>
      <c r="M9" s="42"/>
      <c r="N9" s="42"/>
      <c r="O9" s="42"/>
      <c r="P9" s="42"/>
      <c r="Q9" s="42"/>
      <c r="R9" s="42"/>
      <c r="S9" s="42"/>
    </row>
    <row r="10" ht="26.25" customHeight="1" spans="1:19" s="43" customFormat="1" x14ac:dyDescent="0.25">
      <c r="A10" s="44" t="s">
        <v>18</v>
      </c>
      <c r="B10" s="45" t="s">
        <v>19</v>
      </c>
      <c r="C10" s="45"/>
      <c r="D10" s="44" t="s">
        <v>20</v>
      </c>
      <c r="E10" s="44" t="s">
        <v>21</v>
      </c>
      <c r="F10" s="44" t="s">
        <v>22</v>
      </c>
      <c r="G10" s="44" t="s">
        <v>23</v>
      </c>
      <c r="H10" s="44" t="s">
        <v>24</v>
      </c>
      <c r="L10" s="42"/>
      <c r="M10" s="42"/>
      <c r="N10" s="42"/>
      <c r="O10" s="42"/>
      <c r="P10" s="42"/>
      <c r="Q10" s="42"/>
      <c r="R10" s="42"/>
      <c r="S10" s="42"/>
    </row>
    <row r="11" ht="30" customHeight="1" spans="1:17" s="14" customFormat="1" x14ac:dyDescent="0.25">
      <c r="A11" s="46">
        <v>1</v>
      </c>
      <c r="B11" s="47" t="s">
        <v>25</v>
      </c>
      <c r="C11" s="47"/>
      <c r="D11" s="48" t="s">
        <v>26</v>
      </c>
      <c r="E11" s="49">
        <v>1</v>
      </c>
      <c r="F11" s="49" t="s">
        <v>27</v>
      </c>
      <c r="G11" s="50">
        <v>1</v>
      </c>
      <c r="H11" s="51">
        <v>1</v>
      </c>
      <c r="K11" s="52"/>
      <c r="N11" s="17"/>
      <c r="O11" s="17"/>
      <c r="P11" s="11"/>
      <c r="Q11" s="11"/>
    </row>
    <row r="12" ht="30" customHeight="1" spans="1:8" x14ac:dyDescent="0.25">
      <c r="A12" s="46">
        <v>2</v>
      </c>
      <c r="B12" s="47" t="s">
        <v>28</v>
      </c>
      <c r="C12" s="47"/>
      <c r="D12" s="48" t="s">
        <v>29</v>
      </c>
      <c r="E12" s="49">
        <v>80</v>
      </c>
      <c r="F12" s="49" t="s">
        <v>27</v>
      </c>
      <c r="G12" s="50">
        <v>11</v>
      </c>
      <c r="H12" s="51">
        <v>880</v>
      </c>
    </row>
    <row r="13" ht="30" customHeight="1" spans="1:8" x14ac:dyDescent="0.25">
      <c r="A13" s="46">
        <v>3</v>
      </c>
      <c r="B13" s="47" t="s">
        <v>30</v>
      </c>
      <c r="C13" s="47"/>
      <c r="D13" s="48" t="s">
        <v>31</v>
      </c>
      <c r="E13" s="49">
        <v>1</v>
      </c>
      <c r="F13" s="49" t="s">
        <v>27</v>
      </c>
      <c r="G13" s="50">
        <v>11</v>
      </c>
      <c r="H13" s="51">
        <v>11</v>
      </c>
    </row>
    <row r="14" ht="30" customHeight="1" spans="1:8" x14ac:dyDescent="0.25">
      <c r="A14" s="46">
        <v>4</v>
      </c>
      <c r="B14" s="47" t="s">
        <v>28</v>
      </c>
      <c r="C14" s="47"/>
      <c r="D14" s="48" t="s">
        <v>29</v>
      </c>
      <c r="E14" s="49">
        <v>1</v>
      </c>
      <c r="F14" s="49" t="s">
        <v>27</v>
      </c>
      <c r="G14" s="50">
        <v>0</v>
      </c>
      <c r="H14" s="51">
        <v>0</v>
      </c>
    </row>
    <row r="15" ht="30" customHeight="1" spans="1:8" x14ac:dyDescent="0.25">
      <c r="A15" s="46">
        <v>5</v>
      </c>
      <c r="B15" s="47" t="s">
        <v>25</v>
      </c>
      <c r="C15" s="47"/>
      <c r="D15" s="48" t="s">
        <v>26</v>
      </c>
      <c r="E15" s="49">
        <v>1</v>
      </c>
      <c r="F15" s="49" t="s">
        <v>27</v>
      </c>
      <c r="G15" s="50">
        <v>0</v>
      </c>
      <c r="H15" s="51">
        <v>0</v>
      </c>
    </row>
    <row r="16" ht="30" customHeight="1" spans="1:8" x14ac:dyDescent="0.25">
      <c r="A16" s="46">
        <v>6</v>
      </c>
      <c r="B16" s="47" t="s">
        <v>30</v>
      </c>
      <c r="C16" s="47"/>
      <c r="D16" s="48" t="s">
        <v>31</v>
      </c>
      <c r="E16" s="49">
        <v>1</v>
      </c>
      <c r="F16" s="49" t="s">
        <v>27</v>
      </c>
      <c r="G16" s="50">
        <v>0</v>
      </c>
      <c r="H16" s="51">
        <v>0</v>
      </c>
    </row>
    <row r="17" ht="20" customHeight="1" spans="1:8" x14ac:dyDescent="0.25">
      <c r="A17" s="46">
        <v>7</v>
      </c>
      <c r="B17" s="47" t="s">
        <v>32</v>
      </c>
      <c r="C17" s="47"/>
      <c r="D17" s="48" t="s">
        <v>3</v>
      </c>
      <c r="E17" s="49">
        <v>1</v>
      </c>
      <c r="F17" s="49" t="s">
        <v>27</v>
      </c>
      <c r="G17" s="50">
        <v>0</v>
      </c>
      <c r="H17" s="51">
        <v>0</v>
      </c>
    </row>
    <row r="18" ht="30" customHeight="1" spans="1:8" x14ac:dyDescent="0.25">
      <c r="A18" s="46">
        <v>8</v>
      </c>
      <c r="B18" s="47" t="s">
        <v>33</v>
      </c>
      <c r="C18" s="47"/>
      <c r="D18" s="48" t="s">
        <v>34</v>
      </c>
      <c r="E18" s="49">
        <v>1</v>
      </c>
      <c r="F18" s="49" t="s">
        <v>27</v>
      </c>
      <c r="G18" s="50">
        <v>0</v>
      </c>
      <c r="H18" s="51">
        <v>0</v>
      </c>
    </row>
    <row r="19" ht="30" customHeight="1" spans="1:8" x14ac:dyDescent="0.25">
      <c r="A19" s="46">
        <v>9</v>
      </c>
      <c r="B19" s="47" t="s">
        <v>33</v>
      </c>
      <c r="C19" s="47"/>
      <c r="D19" s="48" t="s">
        <v>34</v>
      </c>
      <c r="E19" s="49">
        <v>1</v>
      </c>
      <c r="F19" s="49" t="s">
        <v>27</v>
      </c>
      <c r="G19" s="50">
        <v>0</v>
      </c>
      <c r="H19" s="51">
        <v>0</v>
      </c>
    </row>
    <row r="20" ht="30" customHeight="1" spans="1:8" x14ac:dyDescent="0.25">
      <c r="A20" s="46">
        <v>10</v>
      </c>
      <c r="B20" s="47" t="s">
        <v>35</v>
      </c>
      <c r="C20" s="47"/>
      <c r="D20" s="48" t="s">
        <v>36</v>
      </c>
      <c r="E20" s="49">
        <v>1</v>
      </c>
      <c r="F20" s="49" t="s">
        <v>27</v>
      </c>
      <c r="G20" s="50">
        <v>0</v>
      </c>
      <c r="H20" s="51">
        <v>0</v>
      </c>
    </row>
    <row r="21" ht="30" customHeight="1" spans="1:8" x14ac:dyDescent="0.25">
      <c r="A21" s="46">
        <v>11</v>
      </c>
      <c r="B21" s="47" t="s">
        <v>37</v>
      </c>
      <c r="C21" s="47"/>
      <c r="D21" s="48" t="s">
        <v>38</v>
      </c>
      <c r="E21" s="49">
        <v>1</v>
      </c>
      <c r="F21" s="49" t="s">
        <v>27</v>
      </c>
      <c r="G21" s="50">
        <v>0</v>
      </c>
      <c r="H21" s="51">
        <v>0</v>
      </c>
    </row>
    <row r="22" ht="60" customHeight="1" spans="1:8" x14ac:dyDescent="0.25">
      <c r="A22" s="46">
        <v>12</v>
      </c>
      <c r="B22" s="47" t="s">
        <v>39</v>
      </c>
      <c r="C22" s="47"/>
      <c r="D22" s="48" t="s">
        <v>40</v>
      </c>
      <c r="E22" s="49">
        <v>1</v>
      </c>
      <c r="F22" s="49" t="s">
        <v>27</v>
      </c>
      <c r="G22" s="50">
        <v>0</v>
      </c>
      <c r="H22" s="51">
        <v>0</v>
      </c>
    </row>
    <row r="23" ht="30" customHeight="1" spans="1:8" x14ac:dyDescent="0.25">
      <c r="A23" s="46">
        <v>13</v>
      </c>
      <c r="B23" s="47" t="s">
        <v>41</v>
      </c>
      <c r="C23" s="47"/>
      <c r="D23" s="48" t="s">
        <v>42</v>
      </c>
      <c r="E23" s="49">
        <v>1</v>
      </c>
      <c r="F23" s="49" t="s">
        <v>27</v>
      </c>
      <c r="G23" s="50">
        <v>0</v>
      </c>
      <c r="H23" s="51">
        <v>0</v>
      </c>
    </row>
    <row r="24" ht="16.5" customHeight="1" spans="1:9" s="17" customFormat="1" x14ac:dyDescent="0.25">
      <c r="A24" s="46" t="s">
        <v>6</v>
      </c>
      <c r="B24" s="46"/>
      <c r="C24" s="46"/>
      <c r="D24" s="46"/>
      <c r="E24" s="46"/>
      <c r="F24" s="53" t="s">
        <v>6</v>
      </c>
      <c r="G24" s="54" t="s">
        <v>43</v>
      </c>
      <c r="H24" s="55">
        <f>SUM(H11:H23)</f>
        <v>892</v>
      </c>
      <c r="I24" s="56"/>
    </row>
    <row r="25" ht="13.5" customHeight="1" spans="1:8" s="17" customFormat="1" x14ac:dyDescent="0.25">
      <c r="A25" s="46"/>
      <c r="B25" s="46"/>
      <c r="C25" s="46"/>
      <c r="D25" s="46"/>
      <c r="E25" s="46"/>
      <c r="F25" s="53"/>
      <c r="G25" s="54"/>
      <c r="H25" s="55"/>
    </row>
    <row r="26" ht="30" customHeight="1" spans="1:11" s="17" customFormat="1" x14ac:dyDescent="0.25">
      <c r="A26" s="57" t="s">
        <v>44</v>
      </c>
      <c r="B26" s="57" t="s">
        <v>44</v>
      </c>
      <c r="C26" s="57" t="s">
        <v>44</v>
      </c>
      <c r="D26" s="57" t="s">
        <v>44</v>
      </c>
      <c r="E26" s="57" t="s">
        <v>44</v>
      </c>
      <c r="F26" s="57" t="s">
        <v>44</v>
      </c>
      <c r="G26" s="57" t="s">
        <v>44</v>
      </c>
      <c r="H26" s="57" t="s">
        <v>44</v>
      </c>
      <c r="I26" s="17"/>
      <c r="J26" s="17"/>
      <c r="K26" s="58"/>
    </row>
    <row r="27" ht="20.1" customHeight="1" spans="1:11" s="17" customFormat="1" x14ac:dyDescent="0.25">
      <c r="A27" s="59" t="s">
        <v>45</v>
      </c>
      <c r="B27" s="59" t="s">
        <v>45</v>
      </c>
      <c r="C27" s="59" t="s">
        <v>3</v>
      </c>
      <c r="D27" s="59" t="s">
        <v>46</v>
      </c>
      <c r="E27" s="59" t="s">
        <v>46</v>
      </c>
      <c r="F27" s="59" t="s">
        <v>46</v>
      </c>
      <c r="G27" s="59" t="s">
        <v>46</v>
      </c>
      <c r="H27" s="60"/>
      <c r="I27" s="17"/>
      <c r="J27" s="17"/>
      <c r="K27" s="58"/>
    </row>
    <row r="28" ht="20.1" customHeight="1" spans="1:11" s="17" customFormat="1" x14ac:dyDescent="0.25">
      <c r="A28" s="59" t="s">
        <v>47</v>
      </c>
      <c r="B28" s="59" t="s">
        <v>47</v>
      </c>
      <c r="C28" s="59" t="s">
        <v>48</v>
      </c>
      <c r="D28" s="59" t="s">
        <v>49</v>
      </c>
      <c r="E28" s="59" t="s">
        <v>49</v>
      </c>
      <c r="F28" s="59" t="s">
        <v>49</v>
      </c>
      <c r="G28" s="59" t="s">
        <v>49</v>
      </c>
      <c r="H28" s="60"/>
      <c r="I28" s="17"/>
      <c r="J28" s="17"/>
      <c r="K28" s="58"/>
    </row>
    <row r="29" ht="20.1" customHeight="1" spans="1:11" s="17" customFormat="1" x14ac:dyDescent="0.25">
      <c r="A29" s="59" t="s">
        <v>50</v>
      </c>
      <c r="B29" s="59" t="s">
        <v>50</v>
      </c>
      <c r="C29" s="59" t="s">
        <v>51</v>
      </c>
      <c r="D29" s="59" t="s">
        <v>51</v>
      </c>
      <c r="E29" s="59" t="s">
        <v>51</v>
      </c>
      <c r="F29" s="59" t="s">
        <v>51</v>
      </c>
      <c r="G29" s="59" t="s">
        <v>51</v>
      </c>
      <c r="H29" s="60"/>
      <c r="I29" s="17"/>
      <c r="J29" s="17"/>
      <c r="K29" s="58"/>
    </row>
    <row r="30" ht="20.1" customHeight="1" spans="1:7" s="60" customFormat="1" x14ac:dyDescent="0.25">
      <c r="A30" s="59" t="s">
        <v>52</v>
      </c>
      <c r="B30" s="59" t="s">
        <v>52</v>
      </c>
      <c r="C30" s="59" t="s">
        <v>3</v>
      </c>
      <c r="D30" s="59" t="s">
        <v>53</v>
      </c>
      <c r="E30" s="59" t="s">
        <v>53</v>
      </c>
      <c r="F30" s="59" t="s">
        <v>53</v>
      </c>
      <c r="G30" s="59" t="s">
        <v>53</v>
      </c>
    </row>
    <row r="31" ht="20.1" customHeight="1" spans="1:7" s="60" customFormat="1" x14ac:dyDescent="0.25">
      <c r="A31" s="59" t="s">
        <v>54</v>
      </c>
      <c r="B31" s="59" t="s">
        <v>54</v>
      </c>
      <c r="C31" s="59" t="s">
        <v>55</v>
      </c>
      <c r="D31" s="59" t="s">
        <v>56</v>
      </c>
      <c r="E31" s="59" t="s">
        <v>56</v>
      </c>
      <c r="F31" s="59" t="s">
        <v>56</v>
      </c>
      <c r="G31" s="59" t="s">
        <v>56</v>
      </c>
    </row>
    <row r="32" ht="20.1" customHeight="1" spans="1:7" s="60" customFormat="1" x14ac:dyDescent="0.25">
      <c r="A32" s="59" t="s">
        <v>57</v>
      </c>
      <c r="B32" s="59" t="s">
        <v>57</v>
      </c>
      <c r="C32" s="59" t="s">
        <v>3</v>
      </c>
      <c r="D32" s="59" t="s">
        <v>58</v>
      </c>
      <c r="E32" s="59" t="s">
        <v>58</v>
      </c>
      <c r="F32" s="59" t="s">
        <v>58</v>
      </c>
      <c r="G32" s="59" t="s">
        <v>58</v>
      </c>
    </row>
    <row r="33" ht="20.1" customHeight="1" spans="1:7" s="60" customFormat="1" x14ac:dyDescent="0.25">
      <c r="A33" s="59" t="s">
        <v>59</v>
      </c>
      <c r="B33" s="59" t="s">
        <v>59</v>
      </c>
      <c r="C33" s="59" t="s">
        <v>60</v>
      </c>
      <c r="D33" s="59" t="s">
        <v>61</v>
      </c>
      <c r="E33" s="59" t="s">
        <v>61</v>
      </c>
      <c r="F33" s="59" t="s">
        <v>61</v>
      </c>
      <c r="G33" s="59" t="s">
        <v>61</v>
      </c>
    </row>
    <row r="34" ht="20.1" customHeight="1" spans="1:7" s="60" customFormat="1" x14ac:dyDescent="0.25">
      <c r="A34" s="59" t="s">
        <v>62</v>
      </c>
      <c r="B34" s="59" t="s">
        <v>62</v>
      </c>
      <c r="C34" s="59" t="s">
        <v>63</v>
      </c>
      <c r="D34" s="59" t="s">
        <v>64</v>
      </c>
      <c r="E34" s="59" t="s">
        <v>64</v>
      </c>
      <c r="F34" s="59" t="s">
        <v>64</v>
      </c>
      <c r="G34" s="59" t="s">
        <v>64</v>
      </c>
    </row>
    <row r="35" ht="20.1" customHeight="1" spans="1:11" s="17" customFormat="1" x14ac:dyDescent="0.25">
      <c r="A35" s="37"/>
      <c r="B35" s="37"/>
      <c r="C35" s="37"/>
      <c r="D35" s="37"/>
      <c r="E35" s="37"/>
      <c r="F35" s="61"/>
      <c r="G35" s="61"/>
      <c r="H35" s="61"/>
      <c r="I35" s="17"/>
      <c r="J35" s="17"/>
      <c r="K35" s="58"/>
    </row>
    <row r="36" ht="31.5" customHeight="1" spans="1:11" s="17" customFormat="1" x14ac:dyDescent="0.25">
      <c r="A36" s="62" t="s">
        <v>65</v>
      </c>
      <c r="B36" s="62" t="s">
        <v>65</v>
      </c>
      <c r="C36" s="62" t="s">
        <v>65</v>
      </c>
      <c r="D36" s="62" t="s">
        <v>65</v>
      </c>
      <c r="E36" s="62" t="s">
        <v>65</v>
      </c>
      <c r="F36" s="62" t="s">
        <v>65</v>
      </c>
      <c r="G36" s="62" t="s">
        <v>65</v>
      </c>
      <c r="H36" s="62" t="s">
        <v>65</v>
      </c>
      <c r="I36" s="17"/>
      <c r="J36" s="17"/>
      <c r="K36" s="58"/>
    </row>
    <row r="37" ht="60" customHeight="1" spans="1:11" s="33" customFormat="1" x14ac:dyDescent="0.25">
      <c r="A37" s="37" t="s">
        <v>66</v>
      </c>
      <c r="B37" s="37" t="s">
        <v>67</v>
      </c>
      <c r="C37" s="37" t="s">
        <v>67</v>
      </c>
      <c r="D37" s="37" t="s">
        <v>67</v>
      </c>
      <c r="E37" s="37" t="s">
        <v>67</v>
      </c>
      <c r="F37" s="63"/>
      <c r="G37" s="63"/>
      <c r="H37" s="63"/>
      <c r="I37" s="33"/>
      <c r="J37" s="33"/>
      <c r="K37" s="64"/>
    </row>
    <row r="38" ht="27" customHeight="1" spans="1:19" s="17" customFormat="1" x14ac:dyDescent="0.25">
      <c r="A38" s="37"/>
      <c r="B38" s="37"/>
      <c r="C38" s="37"/>
      <c r="D38" s="37"/>
      <c r="E38" s="37"/>
      <c r="F38" s="61"/>
      <c r="G38" s="61"/>
      <c r="H38" s="61"/>
      <c r="I38" s="17"/>
      <c r="J38" s="17"/>
      <c r="K38" s="58"/>
      <c r="L38" s="65"/>
      <c r="M38" s="65"/>
      <c r="N38" s="66"/>
      <c r="O38" s="66"/>
      <c r="P38" s="65"/>
      <c r="Q38" s="65"/>
      <c r="R38" s="65"/>
      <c r="S38" s="65"/>
    </row>
    <row r="39" ht="19.5" customHeight="1" spans="1:15" s="65" customFormat="1" x14ac:dyDescent="0.25">
      <c r="A39" s="67" t="s">
        <v>68</v>
      </c>
      <c r="B39" s="67" t="s">
        <v>68</v>
      </c>
      <c r="C39" s="67" t="s">
        <v>68</v>
      </c>
      <c r="D39" s="67" t="s">
        <v>68</v>
      </c>
      <c r="E39" s="67" t="s">
        <v>68</v>
      </c>
      <c r="F39" s="67" t="s">
        <v>68</v>
      </c>
      <c r="G39" s="67" t="s">
        <v>68</v>
      </c>
      <c r="H39" s="67" t="s">
        <v>68</v>
      </c>
      <c r="I39" s="65"/>
      <c r="J39" s="65"/>
      <c r="K39" s="65"/>
      <c r="L39" s="65"/>
      <c r="M39" s="65"/>
      <c r="N39" s="66"/>
      <c r="O39" s="66"/>
    </row>
    <row r="40" ht="53.25" customHeight="1" spans="1:15" s="65" customFormat="1" x14ac:dyDescent="0.25">
      <c r="A40" s="68" t="s">
        <v>69</v>
      </c>
      <c r="B40" s="68" t="s">
        <v>69</v>
      </c>
      <c r="C40" s="68" t="s">
        <v>69</v>
      </c>
      <c r="D40" s="68" t="s">
        <v>69</v>
      </c>
      <c r="E40" s="68" t="s">
        <v>69</v>
      </c>
      <c r="F40" s="68" t="s">
        <v>69</v>
      </c>
      <c r="G40" s="68" t="s">
        <v>69</v>
      </c>
      <c r="H40" s="68" t="s">
        <v>69</v>
      </c>
      <c r="I40" s="65"/>
      <c r="J40" s="65"/>
      <c r="K40" s="65"/>
      <c r="L40" s="65"/>
      <c r="M40" s="65"/>
      <c r="N40" s="66"/>
      <c r="O40" s="66"/>
    </row>
    <row r="41" ht="24" customHeight="1" spans="1:15" s="65" customFormat="1" x14ac:dyDescent="0.25">
      <c r="A41" s="69"/>
      <c r="B41" s="69"/>
      <c r="C41" s="69"/>
      <c r="D41" s="69"/>
      <c r="E41" s="69"/>
      <c r="F41" s="69"/>
      <c r="G41" s="69"/>
      <c r="H41" s="69"/>
      <c r="I41" s="65"/>
      <c r="J41" s="65"/>
      <c r="K41" s="65"/>
      <c r="L41" s="65"/>
      <c r="M41" s="65"/>
      <c r="N41" s="66"/>
      <c r="O41" s="66"/>
    </row>
    <row r="42" ht="19.5" customHeight="1" spans="1:19" s="65" customFormat="1" x14ac:dyDescent="0.25">
      <c r="A42" s="70" t="s">
        <v>70</v>
      </c>
      <c r="B42" s="70" t="s">
        <v>70</v>
      </c>
      <c r="C42" s="70" t="s">
        <v>70</v>
      </c>
      <c r="D42" s="70" t="s">
        <v>70</v>
      </c>
      <c r="E42" s="70" t="s">
        <v>71</v>
      </c>
      <c r="F42" s="70" t="s">
        <v>71</v>
      </c>
      <c r="G42" s="70" t="s">
        <v>71</v>
      </c>
      <c r="H42" s="70" t="s">
        <v>71</v>
      </c>
      <c r="I42" s="65"/>
      <c r="J42" s="65"/>
      <c r="K42" s="65"/>
      <c r="L42" s="2"/>
      <c r="M42" s="2"/>
      <c r="N42" s="5"/>
      <c r="O42" s="5"/>
      <c r="P42" s="2"/>
      <c r="Q42" s="2"/>
      <c r="R42" s="2"/>
      <c r="S42" s="2"/>
    </row>
    <row r="43" spans="1:8" x14ac:dyDescent="0.25">
      <c r="A43" s="71" t="s">
        <v>72</v>
      </c>
      <c r="B43" s="2"/>
      <c r="C43" s="6"/>
      <c r="D43" s="2"/>
      <c r="E43" s="71" t="s">
        <v>73</v>
      </c>
      <c r="F43" s="71" t="s">
        <v>73</v>
      </c>
      <c r="G43" s="71" t="s">
        <v>73</v>
      </c>
      <c r="H43" s="71" t="s">
        <v>73</v>
      </c>
    </row>
    <row r="44" spans="1:8" x14ac:dyDescent="0.25">
      <c r="A44" s="71" t="s">
        <v>74</v>
      </c>
      <c r="B44" s="71" t="s">
        <v>74</v>
      </c>
      <c r="C44" s="71" t="s">
        <v>74</v>
      </c>
      <c r="D44" s="71" t="s">
        <v>74</v>
      </c>
      <c r="E44" s="71" t="s">
        <v>75</v>
      </c>
      <c r="F44" s="71" t="s">
        <v>75</v>
      </c>
      <c r="G44" s="71" t="s">
        <v>75</v>
      </c>
      <c r="H44" s="71" t="s">
        <v>75</v>
      </c>
    </row>
    <row r="45" spans="1:8" x14ac:dyDescent="0.25">
      <c r="A45" s="71" t="s">
        <v>76</v>
      </c>
      <c r="B45" s="71" t="s">
        <v>76</v>
      </c>
      <c r="C45" s="71" t="s">
        <v>76</v>
      </c>
      <c r="D45" s="71" t="s">
        <v>76</v>
      </c>
      <c r="E45" s="71" t="s">
        <v>77</v>
      </c>
      <c r="F45" s="71" t="s">
        <v>77</v>
      </c>
      <c r="G45" s="71" t="s">
        <v>77</v>
      </c>
      <c r="H45" s="71" t="s">
        <v>77</v>
      </c>
    </row>
    <row r="46" spans="1:8" x14ac:dyDescent="0.25">
      <c r="A46" s="6"/>
      <c r="B46" s="2"/>
      <c r="C46" s="2"/>
      <c r="D46" s="2"/>
      <c r="E46" s="2"/>
      <c r="F46" s="6"/>
      <c r="G46" s="3"/>
      <c r="H46" s="72"/>
    </row>
    <row r="47" spans="1:1" x14ac:dyDescent="0.25">
      <c r="A47" s="12"/>
    </row>
  </sheetData>
  <mergeCells count="24">
    <mergeCell ref="F1:H1"/>
    <mergeCell ref="B7:D7"/>
    <mergeCell ref="F7:H8"/>
    <mergeCell ref="B8:D8"/>
    <mergeCell ref="A9:H9"/>
    <mergeCell ref="L9:S10"/>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A24:C25"/>
    <mergeCell ref="F24:F25"/>
    <mergeCell ref="G24:G25"/>
    <mergeCell ref="H24:H25"/>
  </mergeCells>
  <hyperlinks>
    <hyperlink ref="A4" r:id="rId1"/>
  </hyperlinks>
  <printOptions horizontalCentered="1"/>
  <pageMargins left="0.5905511811023623" right="0.5905511811023623" top="0.35433070866141736" bottom="0.31496062992125984" header="0.35433070866141736" footer="0.31496062992125984"/>
  <pageSetup paperSize="9" orientation="portrait" horizontalDpi="4294967295" verticalDpi="4294967295" scale="88" fitToWidth="1" fitToHeight="1" firstPageNumber="1" useFirstPageNumber="1" copies="1"/>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t:lpstr>
      <vt:lpstr>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hw</cp:lastModifiedBy>
  <cp:lastPrinted>2026-04-24T03:43:57Z</cp:lastPrinted>
  <dcterms:created xsi:type="dcterms:W3CDTF">2025-11-18T13:13:00Z</dcterms:created>
  <dcterms:modified xsi:type="dcterms:W3CDTF">2026-05-11T05:26:16Z</dcterms:modified>
</cp:coreProperties>
</file>