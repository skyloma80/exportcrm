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DD5D7349-A0E6-49A7-8C98-D1E0182EFE36}"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9" l="1"/>
  <c r="E52" i="8"/>
  <c r="A52" i="8"/>
  <c r="E19" i="8"/>
  <c r="G18" i="8"/>
  <c r="G17" i="8"/>
  <c r="G16" i="8"/>
  <c r="G19" i="8" s="1"/>
  <c r="G15" i="8"/>
  <c r="G14" i="8"/>
  <c r="G13" i="8"/>
</calcChain>
</file>

<file path=xl/sharedStrings.xml><?xml version="1.0" encoding="utf-8"?>
<sst xmlns="http://schemas.openxmlformats.org/spreadsheetml/2006/main" count="123" uniqueCount="116">
  <si>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</si>
  <si>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</si>
  <si>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</si>
  <si>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</si>
  <si>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</si>
  <si>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</si>
  <si>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</si>
  <si>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</si>
  <si>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</si>
  <si>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</si>
  <si>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</si>
  <si>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</si>
  <si>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</si>
  <si>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</si>
  <si>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</si>
  <si>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</si>
  <si>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</si>
  <si>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</si>
  <si>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</si>
  <si>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</si>
  <si>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</si>
  <si>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</si>
  <si>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</si>
  <si>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</si>
  <si>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</si>
  <si>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</si>
  <si>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</si>
  <si>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</si>
  <si>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</si>
  <si>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</si>
  <si>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</si>
  <si>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</si>
  <si>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</si>
  <si>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</si>
  <si>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</si>
  <si>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</si>
  <si>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</si>
  <si>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</si>
  <si>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</si>
  <si>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</si>
  <si>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</si>
  <si>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</si>
  <si>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</si>
  <si>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</si>
  <si>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</si>
  <si>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</si>
  <si>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</si>
  <si>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</si>
  <si>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</si>
  <si>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</si>
  <si>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</si>
  <si>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</si>
  <si>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</si>
  <si>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</si>
  <si>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</si>
  <si>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</si>
  <si>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</si>
  <si>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</si>
  <si>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</si>
  <si>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</si>
  <si>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</si>
  <si>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</si>
  <si>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</si>
  <si>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</si>
  <si>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</si>
  <si>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</si>
  <si>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</si>
  <si>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</si>
  <si>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</si>
  <si>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</si>
  <si>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</si>
  <si>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</si>
  <si>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VAT 91500109MADTT20C92</t>
    <phoneticPr fontId="15" type="noConversion"/>
  </si>
  <si>
    <t xml:space="preserve"> www.alustars.com</t>
    <phoneticPr fontId="15" type="noConversion"/>
  </si>
  <si>
    <t xml:space="preserve">TO: </t>
    <phoneticPr fontId="15" type="noConversion"/>
  </si>
  <si>
    <t>TROCOMP S.A.</t>
    <phoneticPr fontId="15" type="noConversion"/>
  </si>
  <si>
    <t>Add.</t>
    <phoneticPr fontId="15" type="noConversion"/>
  </si>
  <si>
    <t>NIF:</t>
    <phoneticPr fontId="15" type="noConversion"/>
  </si>
  <si>
    <t>C/  Cadí, 18  -  Pol. Ind. Celrà 17460  Celrà (Girona)</t>
    <phoneticPr fontId="15" type="noConversion"/>
  </si>
  <si>
    <t>A17205873</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</si>
  <si>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</si>
  <si>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</si>
  <si>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</si>
  <si>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</si>
  <si>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</si>
  <si>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</si>
  <si>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0897</t>
    <phoneticPr fontId="15" type="noConversion"/>
  </si>
  <si>
    <t>26-00336</t>
    <phoneticPr fontId="15" type="noConversion"/>
  </si>
  <si>
    <t>A2604-001</t>
    <phoneticPr fontId="15" type="noConversion"/>
  </si>
  <si>
    <t>Apr 20, 2026</t>
    <phoneticPr fontId="15" type="noConversion"/>
  </si>
  <si>
    <t>0080-2062-0843
Iss.6-1/2</t>
    <phoneticPr fontId="15" type="noConversion"/>
  </si>
  <si>
    <t>Pilot Light Torch Tube
HS code: 7326909890</t>
    <phoneticPr fontId="15" type="noConversion"/>
  </si>
  <si>
    <t>Unit</t>
    <phoneticPr fontId="15" type="noConversion"/>
  </si>
  <si>
    <t>PCS</t>
    <phoneticPr fontId="15" type="noConversion"/>
  </si>
  <si>
    <t>SET</t>
    <phoneticPr fontId="15" type="noConversion"/>
  </si>
  <si>
    <t xml:space="preserve">Tooling </t>
    <phoneticPr fontId="15" type="noConversion"/>
  </si>
  <si>
    <t>TOTAL</t>
    <phoneticPr fontId="15" type="noConversion"/>
  </si>
  <si>
    <t>T/T 30% advance (1492.50 euros), 70% before shipment (3482.50 euros)</t>
    <phoneticPr fontId="15" type="noConversion"/>
  </si>
  <si>
    <t xml:space="preserve">    Price Term:</t>
    <phoneticPr fontId="15" type="noConversion"/>
  </si>
  <si>
    <t>EXW Shenzhen</t>
    <phoneticPr fontId="15" type="noConversion"/>
  </si>
  <si>
    <t xml:space="preserve">    Country of Origin:</t>
    <phoneticPr fontId="15" type="noConversion"/>
  </si>
  <si>
    <t>Spain</t>
    <phoneticPr fontId="15" type="noConversion"/>
  </si>
  <si>
    <t xml:space="preserve">    Country of Destination:</t>
    <phoneticPr fontId="15" type="noConversion"/>
  </si>
  <si>
    <t>China</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</si>
  <si>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</si>
  <si>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</si>
  <si>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</si>
  <si>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</si>
  <si>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Shenzhen</t>
    <phoneticPr fontId="15" type="noConversion"/>
  </si>
  <si>
    <t>Barcelona</t>
    <phoneticPr fontId="15" type="noConversion"/>
  </si>
  <si>
    <t>TBD</t>
    <phoneticPr fontId="15" type="noConversion"/>
  </si>
  <si>
    <t>25 days</t>
    <phoneticPr fontId="15" type="noConversion"/>
  </si>
  <si>
    <t>Remittance Instructions</t>
    <phoneticPr fontId="15" type="noConversion"/>
  </si>
  <si>
    <t>Signed by</t>
    <phoneticPr fontId="15" type="noConversion"/>
  </si>
  <si>
    <t xml:space="preserve">    1. BENEFICIARY NAME:CHONGQING ALUSTARS INTERNATIONAL CO.,LTD </t>
    <phoneticPr fontId="15" type="noConversion"/>
  </si>
  <si>
    <t xml:space="preserve">    Carlos Feliu
    VP of Business Development                                                      (Company Seal)</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</si>
</sst>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0">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b/>
      <sz val="16"/>
      <name val="Calibri"/>
      <family val="2"/>
    </font>
    <font>
      <sz val="12"/>
      <name val="Calibri"/>
      <family val="2"/>
    </font>
    <font>
      <sz val="16"/>
      <name val="Calibri"/>
      <family val="2"/>
    </font>
    <font>
      <sz val="16"/>
      <color theme="5"/>
      <name val="Calibri"/>
      <family val="2"/>
    </font>
    <font>
      <sz val="11"/>
      <name val="Calibri"/>
      <family val="2"/>
    </font>
    <font>
      <b/>
      <sz val="11"/>
      <name val="Calibri"/>
      <family val="2"/>
    </font>
    <font>
      <strike/>
      <sz val="11"/>
      <name val="Calibri"/>
      <family val="2"/>
    </font>
    <font>
      <sz val="24"/>
      <name val="Calibri"/>
      <family val="2"/>
    </font>
    <font>
      <b/>
      <sz val="11"/>
      <color theme="4"/>
      <name val="Calibri"/>
      <family val="2"/>
    </font>
    <font>
      <sz val="10"/>
      <name val="Calibri"/>
      <family val="2"/>
    </font>
    <font>
      <sz val="11"/>
      <color rgb="FF00B0F0"/>
      <name val="Calibri"/>
      <family val="2"/>
    </font>
    <font>
      <sz val="12"/>
      <color theme="5"/>
      <name val="Calibri"/>
      <family val="2"/>
    </font>
    <font>
      <b/>
      <sz val="12"/>
      <color theme="4" tint="-0.249977111117893"/>
      <name val="Calibri"/>
      <family val="2"/>
    </font>
    <font>
      <b/>
      <sz val="23"/>
      <name val="Calibri"/>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thin">
        <color theme="2" tint="-0.24994659260841701"/>
      </bottom>
      <diagonal/>
    </border>
    <border>
      <left/>
      <right/>
      <top/>
      <bottom style="medium">
        <color theme="2" tint="-9.9948118533890809E-2"/>
      </bottom>
      <diagonal/>
    </border>
    <border>
      <left/>
      <right/>
      <top style="medium">
        <color theme="2" tint="-9.985656300546282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72">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43" fontId="17" fillId="0" borderId="0" xfId="2" applyFont="1" applyAlignment="1">
      <alignment vertical="center"/>
    </xf>
    <xf numFmtId="176" fontId="17" fillId="0" borderId="0" xfId="2" applyNumberFormat="1" applyFont="1" applyAlignment="1">
      <alignment horizontal="right" vertical="center"/>
    </xf>
    <xf numFmtId="176" fontId="17" fillId="0" borderId="0" xfId="2" applyNumberFormat="1" applyFont="1" applyAlignment="1">
      <alignment vertical="center"/>
    </xf>
    <xf numFmtId="43" fontId="17" fillId="0" borderId="0" xfId="2" applyFont="1" applyAlignment="1">
      <alignment horizontal="center" vertical="center"/>
    </xf>
    <xf numFmtId="43" fontId="20" fillId="0" borderId="0" xfId="2" applyFont="1" applyAlignment="1">
      <alignment vertical="center"/>
    </xf>
    <xf numFmtId="43" fontId="20" fillId="0" borderId="0" xfId="2" applyFont="1" applyAlignment="1">
      <alignment horizontal="center" vertical="center"/>
    </xf>
    <xf numFmtId="49" fontId="17" fillId="0" borderId="0" xfId="2" applyNumberFormat="1" applyFont="1" applyAlignment="1">
      <alignment horizontal="left" vertical="center"/>
    </xf>
    <xf numFmtId="0" fontId="20" fillId="0" borderId="0" xfId="3" applyFont="1" applyAlignment="1">
      <alignment horizontal="center" vertical="top" wrapText="1"/>
    </xf>
    <xf numFmtId="0" fontId="17" fillId="0" borderId="0" xfId="3" applyFont="1" applyAlignment="1">
      <alignment vertical="top"/>
    </xf>
    <xf numFmtId="43" fontId="17" fillId="0" borderId="0" xfId="2" applyFont="1" applyBorder="1" applyAlignment="1">
      <alignment vertical="top"/>
    </xf>
    <xf numFmtId="43" fontId="17" fillId="0" borderId="0" xfId="2" applyFont="1" applyBorder="1" applyAlignment="1">
      <alignment horizontal="center" vertical="top"/>
    </xf>
    <xf numFmtId="43" fontId="20" fillId="0" borderId="0" xfId="2" applyFont="1" applyAlignment="1">
      <alignment vertical="top"/>
    </xf>
    <xf numFmtId="0" fontId="17" fillId="0" borderId="0" xfId="3" applyFont="1" applyAlignment="1">
      <alignment horizontal="center" vertical="top"/>
    </xf>
    <xf numFmtId="43" fontId="20" fillId="0" borderId="0" xfId="2" applyFont="1" applyBorder="1" applyAlignment="1">
      <alignment horizontal="center" vertical="top"/>
    </xf>
    <xf numFmtId="43" fontId="20" fillId="0" borderId="0" xfId="2" applyFont="1" applyBorder="1" applyAlignment="1">
      <alignment horizontal="left" vertical="top"/>
    </xf>
    <xf numFmtId="0" fontId="20" fillId="0" borderId="0" xfId="3" applyFont="1" applyAlignment="1">
      <alignment horizontal="left" vertical="top" wrapText="1"/>
    </xf>
    <xf numFmtId="177" fontId="20" fillId="0" borderId="0" xfId="3" applyNumberFormat="1" applyFont="1" applyAlignment="1">
      <alignment horizontal="center" vertical="top" wrapText="1"/>
    </xf>
    <xf numFmtId="177" fontId="22" fillId="0" borderId="0" xfId="3" applyNumberFormat="1" applyFont="1" applyAlignment="1">
      <alignment horizontal="center" vertical="top" wrapText="1"/>
    </xf>
    <xf numFmtId="49" fontId="20" fillId="0" borderId="0" xfId="3" applyNumberFormat="1" applyFont="1" applyAlignment="1">
      <alignment horizontal="left" vertical="top" wrapText="1"/>
    </xf>
    <xf numFmtId="49" fontId="20" fillId="0" borderId="0" xfId="2" applyNumberFormat="1" applyFont="1" applyBorder="1" applyAlignment="1">
      <alignment horizontal="right" vertical="top"/>
    </xf>
    <xf numFmtId="43" fontId="20" fillId="0" borderId="0" xfId="2" applyFont="1" applyBorder="1" applyAlignment="1">
      <alignment horizontal="center" vertical="center"/>
    </xf>
    <xf numFmtId="43" fontId="20" fillId="0" borderId="0" xfId="2" applyFont="1" applyBorder="1" applyAlignment="1">
      <alignment vertical="center"/>
    </xf>
    <xf numFmtId="43" fontId="24" fillId="2" borderId="0" xfId="2" applyFont="1" applyFill="1" applyBorder="1" applyAlignment="1">
      <alignment horizontal="center" vertical="center"/>
    </xf>
    <xf numFmtId="0" fontId="20" fillId="0" borderId="0" xfId="3" applyFont="1" applyAlignment="1">
      <alignment horizontal="center" vertical="center" wrapText="1"/>
    </xf>
    <xf numFmtId="43" fontId="20" fillId="0" borderId="0" xfId="2" applyFont="1" applyBorder="1" applyAlignment="1">
      <alignment horizontal="right" vertical="center"/>
    </xf>
    <xf numFmtId="43" fontId="20" fillId="0" borderId="0" xfId="2" applyFont="1" applyBorder="1" applyAlignment="1">
      <alignment horizontal="left" vertical="center"/>
    </xf>
    <xf numFmtId="181" fontId="20" fillId="0" borderId="0" xfId="2" applyNumberFormat="1" applyFont="1" applyBorder="1" applyAlignment="1">
      <alignment horizontal="center" vertical="center"/>
    </xf>
    <xf numFmtId="185" fontId="20" fillId="0" borderId="0" xfId="2" applyNumberFormat="1" applyFont="1" applyBorder="1" applyAlignment="1">
      <alignment horizontal="center" vertical="center"/>
    </xf>
    <xf numFmtId="0" fontId="24" fillId="0" borderId="0" xfId="3" applyFont="1" applyAlignment="1">
      <alignment horizontal="left" wrapText="1"/>
    </xf>
    <xf numFmtId="0" fontId="21" fillId="0" borderId="0" xfId="3" applyFont="1" applyAlignment="1">
      <alignment horizontal="left" vertical="center" wrapText="1"/>
    </xf>
    <xf numFmtId="0" fontId="21" fillId="0" borderId="0" xfId="3" applyFont="1" applyAlignment="1">
      <alignment horizontal="left" vertical="top" wrapText="1"/>
    </xf>
    <xf numFmtId="185" fontId="20" fillId="0" borderId="0" xfId="2" applyNumberFormat="1" applyFont="1" applyBorder="1" applyAlignment="1">
      <alignment horizontal="center" vertical="top"/>
    </xf>
    <xf numFmtId="43" fontId="25" fillId="0" borderId="0" xfId="2" applyFont="1" applyAlignment="1">
      <alignment vertical="center"/>
    </xf>
    <xf numFmtId="43" fontId="25" fillId="0" borderId="0" xfId="2" applyFont="1" applyAlignment="1">
      <alignment horizontal="center" vertical="center"/>
    </xf>
    <xf numFmtId="0" fontId="26" fillId="0" borderId="15" xfId="3" applyFont="1" applyBorder="1" applyAlignment="1"/>
    <xf numFmtId="0" fontId="20" fillId="0" borderId="0" xfId="3" applyFont="1" applyAlignment="1"/>
    <xf numFmtId="0" fontId="20" fillId="0" borderId="0" xfId="3" applyFont="1">
      <alignment vertical="center"/>
    </xf>
    <xf numFmtId="0" fontId="17" fillId="0" borderId="0" xfId="2" applyNumberFormat="1" applyFont="1" applyAlignment="1">
      <alignment vertical="center"/>
    </xf>
    <xf numFmtId="43" fontId="17" fillId="0" borderId="0" xfId="2" applyFont="1" applyBorder="1" applyAlignment="1">
      <alignment vertical="center"/>
    </xf>
    <xf numFmtId="49" fontId="17" fillId="0" borderId="0" xfId="2" applyNumberFormat="1" applyFont="1" applyAlignment="1">
      <alignment horizontal="center" vertical="center"/>
    </xf>
    <xf numFmtId="0" fontId="21" fillId="0" borderId="0" xfId="3" applyFont="1" applyAlignment="1">
      <alignment horizontal="center" vertical="top"/>
    </xf>
    <xf numFmtId="43" fontId="17" fillId="0" borderId="0" xfId="2" applyFont="1" applyBorder="1" applyAlignment="1">
      <alignment horizontal="left" vertical="top"/>
    </xf>
    <xf numFmtId="0" fontId="21" fillId="0" borderId="0" xfId="3" applyFont="1" applyAlignment="1">
      <alignment horizontal="left" vertical="center"/>
    </xf>
    <xf numFmtId="0" fontId="17" fillId="0" borderId="0" xfId="3" applyFont="1" applyAlignment="1">
      <alignment horizontal="left" vertical="center"/>
    </xf>
    <xf numFmtId="179" fontId="20" fillId="0" borderId="0" xfId="3" applyNumberFormat="1" applyFont="1" applyAlignment="1">
      <alignment horizontal="center" vertical="top" wrapText="1"/>
    </xf>
    <xf numFmtId="180" fontId="20" fillId="0" borderId="0" xfId="3" applyNumberFormat="1" applyFont="1" applyAlignment="1">
      <alignment horizontal="center" vertical="top" wrapText="1"/>
    </xf>
    <xf numFmtId="182" fontId="20" fillId="0" borderId="0" xfId="3" applyNumberFormat="1" applyFont="1" applyAlignment="1">
      <alignment horizontal="center" vertical="top" wrapText="1"/>
    </xf>
    <xf numFmtId="49" fontId="19" fillId="0" borderId="0" xfId="2" applyNumberFormat="1" applyFont="1" applyBorder="1" applyAlignment="1">
      <alignment horizontal="left" vertical="center"/>
    </xf>
    <xf numFmtId="0" fontId="20" fillId="0" borderId="16" xfId="3" applyFont="1" applyBorder="1" applyAlignment="1">
      <alignment horizontal="center" vertical="top" wrapText="1"/>
    </xf>
    <xf numFmtId="0" fontId="20" fillId="0" borderId="16" xfId="3" applyFont="1" applyBorder="1" applyAlignment="1">
      <alignment horizontal="left" vertical="top" wrapText="1"/>
    </xf>
    <xf numFmtId="179" fontId="20" fillId="0" borderId="16" xfId="3" applyNumberFormat="1" applyFont="1" applyBorder="1" applyAlignment="1">
      <alignment horizontal="center" vertical="top" wrapText="1"/>
    </xf>
    <xf numFmtId="180" fontId="20" fillId="0" borderId="16" xfId="3" applyNumberFormat="1" applyFont="1" applyBorder="1" applyAlignment="1">
      <alignment horizontal="center" vertical="top" wrapText="1"/>
    </xf>
    <xf numFmtId="0" fontId="16" fillId="0" borderId="0" xfId="3" applyFont="1" applyAlignment="1"/>
    <xf numFmtId="43" fontId="18" fillId="0" borderId="0" xfId="2" applyFont="1" applyBorder="1" applyAlignment="1">
      <alignment horizontal="left" vertical="top"/>
    </xf>
    <xf numFmtId="49" fontId="17" fillId="0" borderId="0" xfId="2" applyNumberFormat="1" applyFont="1" applyBorder="1" applyAlignment="1">
      <alignment horizontal="left" vertical="center"/>
    </xf>
    <xf numFmtId="176" fontId="17" fillId="0" borderId="0" xfId="2" applyNumberFormat="1" applyFont="1" applyBorder="1" applyAlignment="1">
      <alignment horizontal="left" vertical="center"/>
    </xf>
    <xf numFmtId="49" fontId="18" fillId="0" borderId="0" xfId="2" applyNumberFormat="1" applyFont="1" applyBorder="1" applyAlignment="1">
      <alignment horizontal="left" vertical="center"/>
    </xf>
    <xf numFmtId="49" fontId="20" fillId="0" borderId="0" xfId="3" applyNumberFormat="1" applyFont="1" applyAlignment="1">
      <alignment horizontal="left" vertical="center"/>
    </xf>
    <xf numFmtId="49" fontId="17" fillId="0" borderId="17" xfId="2" applyNumberFormat="1" applyFont="1" applyBorder="1" applyAlignment="1">
      <alignment horizontal="left" vertical="center"/>
    </xf>
    <xf numFmtId="49" fontId="20" fillId="0" borderId="17" xfId="3" applyNumberFormat="1" applyFont="1" applyBorder="1" applyAlignment="1">
      <alignment horizontal="left" vertical="center"/>
    </xf>
    <xf numFmtId="43" fontId="20" fillId="0" borderId="17" xfId="2" applyFont="1" applyBorder="1" applyAlignment="1">
      <alignment vertical="center"/>
    </xf>
    <xf numFmtId="43" fontId="20" fillId="0" borderId="17" xfId="2" applyFont="1" applyBorder="1" applyAlignment="1">
      <alignment horizontal="center" vertical="center"/>
    </xf>
    <xf numFmtId="43" fontId="20" fillId="0" borderId="17" xfId="2" applyFont="1" applyBorder="1" applyAlignment="1">
      <alignment horizontal="left" vertical="center"/>
    </xf>
    <xf numFmtId="0" fontId="24" fillId="3" borderId="0" xfId="3" applyFont="1" applyFill="1" applyAlignment="1">
      <alignment horizontal="center" vertical="center" wrapText="1"/>
    </xf>
    <xf numFmtId="0" fontId="20" fillId="0" borderId="0" xfId="3" applyFont="1">
      <alignment vertical="center"/>
    </xf>
    <xf numFmtId="49" fontId="27" fillId="0" borderId="18" xfId="2" applyNumberFormat="1" applyFont="1" applyBorder="1" applyAlignment="1">
      <alignment horizontal="left" vertical="center"/>
    </xf>
    <xf numFmtId="0" fontId="21" fillId="0" borderId="0" xfId="3" applyFont="1" applyAlignment="1">
      <alignment horizontal="justify" wrapText="1"/>
    </xf>
    <xf numFmtId="0" fontId="20" fillId="0" borderId="0" xfId="3" applyFont="1" applyAlignment="1">
      <alignment horizontal="justify" wrapText="1"/>
    </xf>
    <xf numFmtId="3" fontId="20" fillId="0" borderId="0" xfId="3" applyNumberFormat="1" applyFont="1" applyAlignment="1">
      <alignment horizontal="center" vertical="center" wrapText="1"/>
    </xf>
    <xf numFmtId="0" fontId="21" fillId="0" borderId="0" xfId="3" applyFont="1" applyAlignment="1">
      <alignment horizontal="center" vertical="center" wrapText="1"/>
    </xf>
    <xf numFmtId="186" fontId="21" fillId="0" borderId="0" xfId="3" applyNumberFormat="1" applyFont="1" applyAlignment="1">
      <alignment vertical="center" wrapText="1"/>
    </xf>
    <xf numFmtId="0" fontId="20" fillId="0" borderId="0" xfId="3" applyFont="1" applyAlignment="1">
      <alignment horizontal="left" wrapText="1"/>
    </xf>
    <xf numFmtId="0" fontId="28" fillId="0" borderId="0" xfId="3" applyFont="1" applyAlignment="1">
      <alignment horizontal="left" vertical="center" wrapText="1"/>
    </xf>
    <xf numFmtId="0" fontId="28" fillId="0" borderId="0" xfId="3" applyFont="1" applyAlignment="1">
      <alignment horizontal="left" wrapText="1"/>
    </xf>
    <xf numFmtId="0" fontId="20" fillId="0" borderId="0" xfId="3" applyFont="1" applyAlignment="1">
      <alignment horizontal="left" vertical="top"/>
    </xf>
    <xf numFmtId="43" fontId="21" fillId="2" borderId="0" xfId="2" applyFont="1" applyFill="1" applyBorder="1" applyAlignment="1">
      <alignment vertical="center" wrapText="1"/>
    </xf>
    <xf numFmtId="0" fontId="20" fillId="0" borderId="0" xfId="3" applyFont="1" applyAlignment="1">
      <alignment horizontal="left" vertical="top" wrapText="1"/>
    </xf>
    <xf numFmtId="0" fontId="20" fillId="0" borderId="0" xfId="3" applyFont="1" applyAlignment="1">
      <alignment horizontal="center" vertical="center" wrapText="1"/>
    </xf>
    <xf numFmtId="0" fontId="29" fillId="0" borderId="0" xfId="3" applyFont="1" applyAlignment="1">
      <alignment horizontal="left" vertical="center"/>
    </xf>
    <xf numFmtId="43" fontId="17" fillId="0" borderId="0" xfId="2" applyFont="1" applyBorder="1" applyAlignment="1">
      <alignment horizontal="left" vertical="top"/>
    </xf>
    <xf numFmtId="178" fontId="20" fillId="0" borderId="0" xfId="3" applyNumberFormat="1" applyFont="1" applyAlignment="1">
      <alignment horizontal="center" vertical="top" wrapText="1"/>
    </xf>
    <xf numFmtId="178" fontId="20" fillId="0" borderId="16" xfId="3" applyNumberFormat="1" applyFont="1" applyBorder="1" applyAlignment="1">
      <alignment horizontal="center" vertical="top" wrapText="1"/>
    </xf>
    <xf numFmtId="0" fontId="23" fillId="0" borderId="0" xfId="3" applyFont="1" applyAlignment="1">
      <alignment horizontal="center" vertical="center" wrapText="1"/>
    </xf>
    <xf numFmtId="43" fontId="24" fillId="3" borderId="0" xfId="2" applyFont="1" applyFill="1" applyBorder="1" applyAlignment="1">
      <alignment horizontal="center" vertical="center"/>
    </xf>
    <xf numFmtId="178" fontId="20" fillId="0" borderId="0" xfId="3" applyNumberFormat="1" applyFont="1" applyAlignment="1">
      <alignment horizontal="left" vertical="top" wrapText="1" indent="1"/>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8"/>
  <sheetViews>
    <sheetView tabSelected="1" view="pageBreakPreview" topLeftCell="A31" zoomScaleNormal="115" zoomScaleSheetLayoutView="100" workbookViewId="0">
      <selection activeCell="J4" sqref="J4"/>
    </sheetView>
  </sheetViews>
  <sheetFormatPr defaultColWidth="9" defaultRowHeight="15.6"/>
  <cols>
    <col min="1" max="1" width="6.33203125" style="96" customWidth="1"/>
    <col min="2" max="2" width="16.33203125" style="57" customWidth="1"/>
    <col min="3" max="3" width="8.44140625" style="57" customWidth="1"/>
    <col min="4" max="4" width="25.77734375" style="57" customWidth="1"/>
    <col min="5" max="5" width="10.109375" style="57" customWidth="1"/>
    <col min="6" max="6" width="10.88671875" style="57" customWidth="1"/>
    <col min="7" max="7" width="13" style="58" customWidth="1"/>
    <col min="8" max="8" width="12.88671875" style="59" customWidth="1"/>
    <col min="9" max="9" width="7" style="57" customWidth="1"/>
    <col min="10" max="10" width="10.88671875" style="57" customWidth="1"/>
    <col min="11" max="11" width="1" style="57" customWidth="1"/>
    <col min="12" max="12" width="11.6640625" style="57" customWidth="1"/>
    <col min="13" max="13" width="1.6640625" style="57" customWidth="1"/>
    <col min="14" max="14" width="10.88671875" style="60" customWidth="1"/>
    <col min="15" max="15" width="2.88671875" style="60" customWidth="1"/>
    <col min="16" max="16" width="15" style="57" customWidth="1"/>
    <col min="17" max="17" width="11.77734375" style="57" customWidth="1"/>
    <col min="18" max="18" width="12.77734375" style="57" customWidth="1"/>
    <col min="19" max="16384" width="9" style="57"/>
  </cols>
  <sheetData>
    <row r="1" spans="1:19" s="55" customFormat="1" ht="66" customHeight="1">
      <c r="A1" s="109"/>
      <c r="B1" s="109"/>
      <c r="C1" s="109"/>
      <c r="D1" s="109"/>
      <c r="E1" s="109"/>
      <c r="F1" s="135" t="s">
        <v>67</v>
      </c>
      <c r="G1" s="135"/>
      <c r="H1" s="135"/>
      <c r="N1" s="56"/>
      <c r="O1" s="56"/>
    </row>
    <row r="2" spans="1:19" ht="21.9" customHeight="1">
      <c r="A2" s="110" t="s">
        <v>0</v>
      </c>
      <c r="B2" s="95"/>
      <c r="C2" s="95"/>
      <c r="D2" s="95"/>
      <c r="E2" s="95"/>
      <c r="F2" s="82" t="s">
        <v>80</v>
      </c>
      <c r="G2" s="111" t="s">
        <v>86</v>
      </c>
      <c r="H2" s="112"/>
    </row>
    <row r="3" spans="1:19" s="61" customFormat="1" ht="21.9" customHeight="1">
      <c r="A3" s="113" t="s">
        <v>72</v>
      </c>
      <c r="B3" s="114"/>
      <c r="C3" s="78"/>
      <c r="D3" s="77"/>
      <c r="E3" s="77"/>
      <c r="F3" s="82" t="s">
        <v>69</v>
      </c>
      <c r="G3" s="82" t="s">
        <v>87</v>
      </c>
      <c r="H3" s="82" t="s">
        <v>68</v>
      </c>
      <c r="N3" s="62"/>
      <c r="O3" s="62"/>
    </row>
    <row r="4" spans="1:19" s="61" customFormat="1" ht="21.9" customHeight="1">
      <c r="A4" s="104" t="s">
        <v>73</v>
      </c>
      <c r="B4" s="114"/>
      <c r="C4" s="78"/>
      <c r="D4" s="77"/>
      <c r="E4" s="77"/>
      <c r="F4" s="82" t="s">
        <v>70</v>
      </c>
      <c r="G4" s="82" t="s">
        <v>88</v>
      </c>
      <c r="H4" s="82"/>
      <c r="J4" s="64"/>
      <c r="K4" s="65"/>
      <c r="L4" s="64"/>
      <c r="M4" s="66"/>
      <c r="N4" s="67"/>
      <c r="O4" s="67"/>
      <c r="P4" s="67"/>
      <c r="Q4" s="67"/>
    </row>
    <row r="5" spans="1:19" s="61" customFormat="1" ht="21.75" customHeight="1" thickBot="1">
      <c r="A5" s="115"/>
      <c r="B5" s="116"/>
      <c r="C5" s="117"/>
      <c r="D5" s="118"/>
      <c r="E5" s="118"/>
      <c r="F5" s="119" t="s">
        <v>71</v>
      </c>
      <c r="G5" s="119" t="s">
        <v>89</v>
      </c>
      <c r="H5" s="119"/>
      <c r="J5" s="64"/>
      <c r="K5" s="65"/>
      <c r="L5" s="64"/>
      <c r="M5" s="66"/>
      <c r="N5" s="67"/>
      <c r="O5" s="67"/>
      <c r="P5" s="67"/>
      <c r="Q5" s="67"/>
    </row>
    <row r="6" spans="1:19" s="66" customFormat="1" ht="20.100000000000001" customHeight="1">
      <c r="A6" s="97" t="s">
        <v>74</v>
      </c>
      <c r="B6" s="66" t="s">
        <v>75</v>
      </c>
      <c r="C6" s="68"/>
      <c r="D6" s="68"/>
      <c r="E6" s="68"/>
      <c r="F6" s="99"/>
      <c r="G6" s="100"/>
      <c r="H6" s="100"/>
      <c r="I6" s="69"/>
      <c r="J6" s="70"/>
      <c r="K6" s="70"/>
      <c r="L6" s="70"/>
      <c r="M6" s="70"/>
      <c r="N6" s="70"/>
      <c r="O6" s="70"/>
      <c r="P6" s="71"/>
      <c r="Q6" s="70"/>
      <c r="R6" s="70"/>
    </row>
    <row r="7" spans="1:19" s="66" customFormat="1" ht="20.100000000000001" customHeight="1">
      <c r="A7" s="76" t="s">
        <v>76</v>
      </c>
      <c r="B7" s="136" t="s">
        <v>78</v>
      </c>
      <c r="C7" s="136"/>
      <c r="D7" s="136"/>
      <c r="E7" s="98"/>
      <c r="F7" s="133"/>
      <c r="G7" s="133"/>
      <c r="H7" s="133"/>
      <c r="I7" s="67"/>
      <c r="J7" s="73"/>
      <c r="K7" s="67"/>
      <c r="L7" s="73"/>
      <c r="M7" s="67"/>
      <c r="N7" s="73"/>
      <c r="O7" s="67"/>
      <c r="P7" s="74"/>
      <c r="Q7" s="75"/>
      <c r="R7" s="73"/>
    </row>
    <row r="8" spans="1:19" s="66" customFormat="1" ht="20.100000000000001" customHeight="1">
      <c r="A8" s="76" t="s">
        <v>77</v>
      </c>
      <c r="B8" s="136" t="s">
        <v>79</v>
      </c>
      <c r="C8" s="136"/>
      <c r="D8" s="136"/>
      <c r="E8" s="98"/>
      <c r="F8" s="133"/>
      <c r="G8" s="133"/>
      <c r="H8" s="133"/>
      <c r="I8" s="64"/>
      <c r="J8" s="64"/>
      <c r="K8" s="64"/>
      <c r="L8" s="73"/>
      <c r="M8" s="67"/>
      <c r="N8" s="73"/>
      <c r="O8" s="67"/>
      <c r="P8" s="74"/>
      <c r="Q8" s="75"/>
      <c r="R8" s="73"/>
    </row>
    <row r="9" spans="1:19" s="78" customFormat="1" ht="23.25" customHeight="1">
      <c r="A9" s="139" t="s">
        <v>68</v>
      </c>
      <c r="B9" s="139"/>
      <c r="C9" s="139"/>
      <c r="D9" s="139"/>
      <c r="E9" s="139"/>
      <c r="F9" s="139"/>
      <c r="G9" s="139"/>
      <c r="H9" s="139"/>
      <c r="I9" s="77"/>
      <c r="J9" s="77"/>
      <c r="K9" s="77"/>
      <c r="L9" s="132"/>
      <c r="M9" s="132"/>
      <c r="N9" s="132"/>
      <c r="O9" s="132"/>
      <c r="P9" s="132"/>
      <c r="Q9" s="132"/>
      <c r="R9" s="132"/>
      <c r="S9" s="132"/>
    </row>
    <row r="10" spans="1:19" s="79" customFormat="1" ht="26.25" customHeight="1">
      <c r="A10" s="120" t="s">
        <v>3</v>
      </c>
      <c r="B10" s="140" t="s">
        <v>4</v>
      </c>
      <c r="C10" s="140"/>
      <c r="D10" s="120" t="s">
        <v>81</v>
      </c>
      <c r="E10" s="120" t="s">
        <v>6</v>
      </c>
      <c r="F10" s="120" t="s">
        <v>92</v>
      </c>
      <c r="G10" s="120" t="s">
        <v>82</v>
      </c>
      <c r="H10" s="120" t="s">
        <v>83</v>
      </c>
      <c r="L10" s="132"/>
      <c r="M10" s="132"/>
      <c r="N10" s="132"/>
      <c r="O10" s="132"/>
      <c r="P10" s="132"/>
      <c r="Q10" s="132"/>
      <c r="R10" s="132"/>
      <c r="S10" s="132"/>
    </row>
    <row r="11" spans="1:19" s="78" customFormat="1" ht="28.5" customHeight="1">
      <c r="A11" s="64">
        <v>1</v>
      </c>
      <c r="B11" s="141" t="s">
        <v>90</v>
      </c>
      <c r="C11" s="141"/>
      <c r="D11" s="72" t="s">
        <v>91</v>
      </c>
      <c r="E11" s="101">
        <v>250</v>
      </c>
      <c r="F11" s="101" t="s">
        <v>93</v>
      </c>
      <c r="G11" s="103">
        <v>14.3</v>
      </c>
      <c r="H11" s="102">
        <v>3575</v>
      </c>
      <c r="K11" s="81"/>
      <c r="N11" s="77"/>
      <c r="O11" s="77"/>
      <c r="P11" s="82"/>
      <c r="Q11" s="82"/>
    </row>
    <row r="12" spans="1:19" s="78" customFormat="1" ht="23.1" customHeight="1">
      <c r="A12" s="64">
        <v>2</v>
      </c>
      <c r="B12" s="137"/>
      <c r="C12" s="137"/>
      <c r="D12" s="72" t="s">
        <v>95</v>
      </c>
      <c r="E12" s="101">
        <v>1</v>
      </c>
      <c r="F12" s="101" t="s">
        <v>94</v>
      </c>
      <c r="G12" s="103">
        <v>1400</v>
      </c>
      <c r="H12" s="102">
        <v>1400</v>
      </c>
      <c r="K12" s="81"/>
      <c r="N12" s="77"/>
      <c r="O12" s="77"/>
      <c r="P12" s="82"/>
      <c r="Q12" s="82"/>
    </row>
    <row r="13" spans="1:19" s="78" customFormat="1" ht="23.1" customHeight="1">
      <c r="A13" s="64"/>
      <c r="B13" s="137"/>
      <c r="C13" s="137"/>
      <c r="D13" s="72"/>
      <c r="E13" s="72"/>
      <c r="F13" s="101"/>
      <c r="G13" s="102"/>
      <c r="H13" s="102"/>
      <c r="K13" s="81"/>
      <c r="N13" s="77"/>
      <c r="O13" s="77"/>
      <c r="P13" s="82"/>
      <c r="Q13" s="82"/>
    </row>
    <row r="14" spans="1:19" s="78" customFormat="1" ht="23.1" customHeight="1">
      <c r="A14" s="105"/>
      <c r="B14" s="138"/>
      <c r="C14" s="138"/>
      <c r="D14" s="106"/>
      <c r="E14" s="106"/>
      <c r="F14" s="107"/>
      <c r="G14" s="108"/>
      <c r="H14" s="108"/>
      <c r="K14" s="81"/>
      <c r="L14" s="77"/>
      <c r="M14" s="77"/>
      <c r="N14" s="77"/>
      <c r="O14" s="77"/>
      <c r="P14" s="77"/>
      <c r="Q14" s="77"/>
      <c r="R14" s="77"/>
      <c r="S14" s="77"/>
    </row>
    <row r="15" spans="1:19" s="77" customFormat="1" ht="16.5" customHeight="1">
      <c r="A15" s="134" t="s">
        <v>68</v>
      </c>
      <c r="B15" s="134"/>
      <c r="C15" s="134"/>
      <c r="D15" s="80"/>
      <c r="E15" s="80"/>
      <c r="F15" s="125" t="s">
        <v>14</v>
      </c>
      <c r="G15" s="126" t="s">
        <v>96</v>
      </c>
      <c r="H15" s="127">
        <f>SUM(H11:H14)</f>
        <v>4975</v>
      </c>
      <c r="I15" s="83"/>
    </row>
    <row r="16" spans="1:19" s="77" customFormat="1" ht="13.5" customHeight="1">
      <c r="A16" s="134"/>
      <c r="B16" s="134"/>
      <c r="C16" s="134"/>
      <c r="D16" s="80"/>
      <c r="E16" s="80"/>
      <c r="F16" s="125"/>
      <c r="G16" s="126"/>
      <c r="H16" s="127"/>
    </row>
    <row r="17" spans="1:19" s="77" customFormat="1" ht="30" customHeight="1">
      <c r="A17" s="130" t="s">
        <v>84</v>
      </c>
      <c r="B17" s="130"/>
      <c r="C17" s="130"/>
      <c r="D17" s="130"/>
      <c r="E17" s="130"/>
      <c r="F17" s="130"/>
      <c r="G17" s="130"/>
      <c r="H17" s="130"/>
      <c r="K17" s="84"/>
    </row>
    <row r="18" spans="1:19" s="77" customFormat="1" ht="20.100000000000001" customHeight="1">
      <c r="A18" s="128" t="s">
        <v>85</v>
      </c>
      <c r="B18" s="128"/>
      <c r="C18" s="128" t="s">
        <v>97</v>
      </c>
      <c r="D18" s="128"/>
      <c r="E18" s="128"/>
      <c r="F18" s="128"/>
      <c r="G18" s="128"/>
      <c r="H18" s="85"/>
      <c r="K18" s="84"/>
    </row>
    <row r="19" spans="1:19" s="77" customFormat="1" ht="20.100000000000001" customHeight="1">
      <c r="A19" s="128" t="s">
        <v>98</v>
      </c>
      <c r="B19" s="128"/>
      <c r="C19" s="128" t="s">
        <v>99</v>
      </c>
      <c r="D19" s="128"/>
      <c r="E19" s="128"/>
      <c r="F19" s="128"/>
      <c r="G19" s="128"/>
      <c r="H19" s="85"/>
      <c r="K19" s="84"/>
    </row>
    <row r="20" spans="1:19" s="77" customFormat="1" ht="20.100000000000001" customHeight="1">
      <c r="A20" s="128" t="s">
        <v>100</v>
      </c>
      <c r="B20" s="128"/>
      <c r="C20" s="128" t="s">
        <v>103</v>
      </c>
      <c r="D20" s="128"/>
      <c r="E20" s="128"/>
      <c r="F20" s="128"/>
      <c r="G20" s="128"/>
      <c r="H20" s="85"/>
      <c r="K20" s="84"/>
    </row>
    <row r="21" spans="1:19" s="85" customFormat="1" ht="20.100000000000001" customHeight="1">
      <c r="A21" s="128" t="s">
        <v>102</v>
      </c>
      <c r="B21" s="128"/>
      <c r="C21" s="128" t="s">
        <v>101</v>
      </c>
      <c r="D21" s="128"/>
      <c r="E21" s="128"/>
      <c r="F21" s="128"/>
      <c r="G21" s="128"/>
    </row>
    <row r="22" spans="1:19" s="85" customFormat="1" ht="20.100000000000001" customHeight="1">
      <c r="A22" s="128" t="s">
        <v>104</v>
      </c>
      <c r="B22" s="128"/>
      <c r="C22" s="128" t="s">
        <v>108</v>
      </c>
      <c r="D22" s="128"/>
      <c r="E22" s="128"/>
      <c r="F22" s="128"/>
      <c r="G22" s="128"/>
    </row>
    <row r="23" spans="1:19" s="85" customFormat="1" ht="20.100000000000001" customHeight="1">
      <c r="A23" s="128" t="s">
        <v>105</v>
      </c>
      <c r="B23" s="128"/>
      <c r="C23" s="128" t="s">
        <v>109</v>
      </c>
      <c r="D23" s="128"/>
      <c r="E23" s="128"/>
      <c r="F23" s="128"/>
      <c r="G23" s="128"/>
    </row>
    <row r="24" spans="1:19" s="85" customFormat="1" ht="20.100000000000001" customHeight="1">
      <c r="A24" s="128" t="s">
        <v>106</v>
      </c>
      <c r="B24" s="128"/>
      <c r="C24" s="128" t="s">
        <v>110</v>
      </c>
      <c r="D24" s="128"/>
      <c r="E24" s="128"/>
      <c r="F24" s="128"/>
      <c r="G24" s="128"/>
    </row>
    <row r="25" spans="1:19" s="85" customFormat="1" ht="20.100000000000001" customHeight="1">
      <c r="A25" s="128" t="s">
        <v>107</v>
      </c>
      <c r="B25" s="128"/>
      <c r="C25" s="128" t="s">
        <v>111</v>
      </c>
      <c r="D25" s="128"/>
      <c r="E25" s="128"/>
      <c r="F25" s="128"/>
      <c r="G25" s="128"/>
    </row>
    <row r="26" spans="1:19" s="77" customFormat="1" ht="20.100000000000001" customHeight="1">
      <c r="A26" s="72"/>
      <c r="B26" s="72"/>
      <c r="C26" s="72"/>
      <c r="D26" s="72"/>
      <c r="E26" s="72"/>
      <c r="F26" s="86"/>
      <c r="G26" s="86"/>
      <c r="H26" s="86"/>
      <c r="K26" s="84"/>
    </row>
    <row r="27" spans="1:19" s="77" customFormat="1" ht="31.5" customHeight="1">
      <c r="A27" s="129" t="s">
        <v>112</v>
      </c>
      <c r="B27" s="129"/>
      <c r="C27" s="129"/>
      <c r="D27" s="129"/>
      <c r="E27" s="129"/>
      <c r="F27" s="129"/>
      <c r="G27" s="129"/>
      <c r="H27" s="129"/>
      <c r="K27" s="84"/>
    </row>
    <row r="28" spans="1:19" s="70" customFormat="1" ht="20.100000000000001" customHeight="1">
      <c r="A28" s="131" t="s">
        <v>114</v>
      </c>
      <c r="B28" s="131"/>
      <c r="C28" s="131"/>
      <c r="D28" s="131"/>
      <c r="E28" s="131"/>
      <c r="F28" s="87"/>
      <c r="G28" s="87"/>
      <c r="H28" s="87"/>
      <c r="K28" s="88"/>
    </row>
    <row r="29" spans="1:19" s="77" customFormat="1" ht="27" customHeight="1">
      <c r="A29" s="72"/>
      <c r="B29" s="72"/>
      <c r="C29" s="72"/>
      <c r="D29" s="72"/>
      <c r="E29" s="72"/>
      <c r="F29" s="86"/>
      <c r="G29" s="86"/>
      <c r="H29" s="86"/>
      <c r="K29" s="84"/>
      <c r="L29" s="89"/>
      <c r="M29" s="89"/>
      <c r="N29" s="90"/>
      <c r="O29" s="90"/>
      <c r="P29" s="89"/>
      <c r="Q29" s="89"/>
      <c r="R29" s="89"/>
      <c r="S29" s="89"/>
    </row>
    <row r="30" spans="1:19" s="89" customFormat="1" ht="19.5" customHeight="1">
      <c r="A30" s="123" t="s">
        <v>113</v>
      </c>
      <c r="B30" s="123"/>
      <c r="C30" s="123"/>
      <c r="D30" s="123"/>
      <c r="E30" s="123"/>
      <c r="F30" s="123"/>
      <c r="G30" s="123"/>
      <c r="H30" s="123"/>
      <c r="N30" s="90"/>
      <c r="O30" s="90"/>
    </row>
    <row r="31" spans="1:19" s="89" customFormat="1" ht="53.25" customHeight="1">
      <c r="A31" s="124" t="s">
        <v>115</v>
      </c>
      <c r="B31" s="124"/>
      <c r="C31" s="124"/>
      <c r="D31" s="124"/>
      <c r="E31" s="124"/>
      <c r="F31" s="124"/>
      <c r="G31" s="124"/>
      <c r="H31" s="124"/>
      <c r="N31" s="90"/>
      <c r="O31" s="90"/>
    </row>
    <row r="32" spans="1:19" s="89" customFormat="1" ht="24" customHeight="1" thickBot="1">
      <c r="A32" s="91"/>
      <c r="B32" s="91"/>
      <c r="C32" s="91"/>
      <c r="D32" s="91"/>
      <c r="E32" s="91"/>
      <c r="F32" s="91"/>
      <c r="G32" s="91"/>
      <c r="H32" s="91"/>
      <c r="N32" s="90"/>
      <c r="O32" s="90"/>
    </row>
    <row r="33" spans="1:19" s="89" customFormat="1" ht="19.5" customHeight="1">
      <c r="A33" s="122" t="s">
        <v>18</v>
      </c>
      <c r="B33" s="122"/>
      <c r="C33" s="122"/>
      <c r="D33" s="122"/>
      <c r="E33" s="122" t="s">
        <v>19</v>
      </c>
      <c r="F33" s="122"/>
      <c r="G33" s="122"/>
      <c r="H33" s="122"/>
      <c r="L33" s="57"/>
      <c r="M33" s="57"/>
      <c r="N33" s="60"/>
      <c r="O33" s="60"/>
      <c r="P33" s="57"/>
      <c r="Q33" s="57"/>
      <c r="R33" s="57"/>
      <c r="S33" s="57"/>
    </row>
    <row r="34" spans="1:19">
      <c r="A34" s="93" t="s">
        <v>20</v>
      </c>
      <c r="C34" s="94"/>
      <c r="D34" s="95"/>
      <c r="E34" s="121" t="s">
        <v>21</v>
      </c>
      <c r="F34" s="121"/>
      <c r="G34" s="121"/>
      <c r="H34" s="121"/>
    </row>
    <row r="35" spans="1:19">
      <c r="A35" s="121" t="s">
        <v>22</v>
      </c>
      <c r="B35" s="121"/>
      <c r="C35" s="121"/>
      <c r="D35" s="121"/>
      <c r="E35" s="121" t="s">
        <v>23</v>
      </c>
      <c r="F35" s="121"/>
      <c r="G35" s="121"/>
      <c r="H35" s="121"/>
    </row>
    <row r="36" spans="1:19">
      <c r="A36" s="121" t="s">
        <v>24</v>
      </c>
      <c r="B36" s="121"/>
      <c r="C36" s="121"/>
      <c r="D36" s="121"/>
      <c r="E36" s="121" t="s">
        <v>25</v>
      </c>
      <c r="F36" s="121"/>
      <c r="G36" s="121"/>
      <c r="H36" s="121"/>
    </row>
    <row r="37" spans="1:19">
      <c r="A37" s="55"/>
      <c r="F37" s="55"/>
      <c r="H37" s="92"/>
    </row>
    <row r="38" spans="1:19">
      <c r="A38" s="63"/>
    </row>
  </sheetData>
  <mergeCells count="43">
    <mergeCell ref="A25:B25"/>
    <mergeCell ref="C25:G25"/>
    <mergeCell ref="A22:B22"/>
    <mergeCell ref="C22:G22"/>
    <mergeCell ref="A23:B23"/>
    <mergeCell ref="C23:G23"/>
    <mergeCell ref="A24:B24"/>
    <mergeCell ref="C24:G24"/>
    <mergeCell ref="L9:S10"/>
    <mergeCell ref="F7:H8"/>
    <mergeCell ref="A15:C16"/>
    <mergeCell ref="F1:H1"/>
    <mergeCell ref="B7:D7"/>
    <mergeCell ref="B8:D8"/>
    <mergeCell ref="B13:C13"/>
    <mergeCell ref="B14:C14"/>
    <mergeCell ref="A9:H9"/>
    <mergeCell ref="B10:C10"/>
    <mergeCell ref="B11:C11"/>
    <mergeCell ref="B12:C12"/>
    <mergeCell ref="A30:H30"/>
    <mergeCell ref="A31:H31"/>
    <mergeCell ref="F15:F16"/>
    <mergeCell ref="G15:G16"/>
    <mergeCell ref="H15:H16"/>
    <mergeCell ref="A18:B18"/>
    <mergeCell ref="A19:B19"/>
    <mergeCell ref="A20:B20"/>
    <mergeCell ref="A21:B21"/>
    <mergeCell ref="A27:H27"/>
    <mergeCell ref="A17:H17"/>
    <mergeCell ref="C18:G18"/>
    <mergeCell ref="C19:G19"/>
    <mergeCell ref="C20:G20"/>
    <mergeCell ref="C21:G21"/>
    <mergeCell ref="A28:E28"/>
    <mergeCell ref="E36:H36"/>
    <mergeCell ref="A35:D35"/>
    <mergeCell ref="A36:D36"/>
    <mergeCell ref="A33:D33"/>
    <mergeCell ref="E33:H33"/>
    <mergeCell ref="E34:H34"/>
    <mergeCell ref="E35:H35"/>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42" t="s">
        <v>26</v>
      </c>
      <c r="B1" s="142"/>
      <c r="C1" s="142"/>
      <c r="D1" s="142"/>
      <c r="E1" s="142"/>
      <c r="F1" s="142"/>
      <c r="G1" s="142"/>
      <c r="M1" s="45"/>
      <c r="N1" s="45"/>
    </row>
    <row r="2" spans="1:15" ht="13.5" customHeight="1">
      <c r="F2" s="12" t="s">
        <v>27</v>
      </c>
      <c r="G2" s="13" t="s">
        <v>1</v>
      </c>
      <c r="H2" s="8" t="s">
        <v>1</v>
      </c>
    </row>
    <row r="3" spans="1:15" ht="15" customHeight="1">
      <c r="F3" s="12" t="s">
        <v>28</v>
      </c>
      <c r="G3" s="13" t="s">
        <v>29</v>
      </c>
    </row>
    <row r="4" spans="1:15">
      <c r="A4" s="14" t="s">
        <v>30</v>
      </c>
      <c r="B4" s="15" t="s">
        <v>31</v>
      </c>
      <c r="C4" s="15"/>
      <c r="D4" s="15"/>
      <c r="F4" s="15"/>
      <c r="G4" s="16"/>
      <c r="H4" s="9"/>
    </row>
    <row r="5" spans="1:15" s="2" customFormat="1" ht="33" customHeight="1">
      <c r="A5" s="17"/>
      <c r="B5" s="143" t="s">
        <v>32</v>
      </c>
      <c r="C5" s="143"/>
      <c r="D5" s="143"/>
      <c r="E5" s="143"/>
      <c r="F5" s="143"/>
      <c r="G5" s="143"/>
      <c r="H5" s="18"/>
      <c r="M5" s="46"/>
      <c r="N5" s="46"/>
    </row>
    <row r="6" spans="1:15" s="2" customFormat="1" ht="5.25" customHeight="1">
      <c r="A6" s="17"/>
      <c r="B6" s="19"/>
      <c r="C6" s="19"/>
      <c r="D6" s="19"/>
      <c r="E6" s="19"/>
      <c r="F6" s="19"/>
      <c r="G6" s="19"/>
      <c r="M6" s="46"/>
      <c r="N6" s="46"/>
    </row>
    <row r="7" spans="1:15" s="2" customFormat="1">
      <c r="A7" s="14" t="s">
        <v>33</v>
      </c>
      <c r="B7" s="144" t="s">
        <v>2</v>
      </c>
      <c r="C7" s="144"/>
      <c r="D7" s="144"/>
      <c r="E7" s="144"/>
      <c r="F7" s="144"/>
      <c r="G7" s="20"/>
      <c r="M7" s="46"/>
      <c r="N7" s="46"/>
    </row>
    <row r="8" spans="1:15" s="2" customFormat="1" ht="54" customHeight="1">
      <c r="A8" s="17"/>
      <c r="B8" s="145" t="s">
        <v>34</v>
      </c>
      <c r="C8" s="145"/>
      <c r="D8" s="145"/>
      <c r="E8" s="145"/>
      <c r="F8" s="145"/>
      <c r="G8" s="145"/>
      <c r="M8" s="46"/>
      <c r="N8" s="46"/>
    </row>
    <row r="9" spans="1:15" s="2" customFormat="1" ht="6" customHeight="1">
      <c r="A9" s="17"/>
      <c r="B9" s="21"/>
      <c r="C9" s="21"/>
      <c r="D9" s="21"/>
      <c r="E9" s="21"/>
      <c r="F9" s="21"/>
      <c r="G9" s="21"/>
      <c r="M9" s="46"/>
      <c r="N9" s="46"/>
    </row>
    <row r="10" spans="1:15" s="3" customFormat="1" ht="49.5" customHeight="1">
      <c r="A10" s="146" t="s">
        <v>35</v>
      </c>
      <c r="B10" s="146"/>
      <c r="C10" s="146"/>
      <c r="D10" s="146"/>
      <c r="E10" s="146"/>
      <c r="F10" s="146"/>
      <c r="G10" s="146"/>
      <c r="M10" s="4"/>
      <c r="N10" s="4"/>
    </row>
    <row r="11" spans="1:15" s="3" customFormat="1" ht="27" customHeight="1">
      <c r="A11" s="147" t="s">
        <v>36</v>
      </c>
      <c r="B11" s="147"/>
      <c r="C11" s="147"/>
      <c r="D11" s="147"/>
      <c r="E11" s="147"/>
      <c r="F11" s="147"/>
      <c r="G11" s="147"/>
      <c r="M11" s="4"/>
      <c r="N11" s="4"/>
    </row>
    <row r="12" spans="1:15" s="4" customFormat="1" ht="30.75" customHeight="1">
      <c r="A12" s="22" t="s">
        <v>37</v>
      </c>
      <c r="B12" s="148" t="s">
        <v>4</v>
      </c>
      <c r="C12" s="149"/>
      <c r="D12" s="23" t="s">
        <v>5</v>
      </c>
      <c r="E12" s="24" t="s">
        <v>6</v>
      </c>
      <c r="F12" s="24" t="s">
        <v>38</v>
      </c>
      <c r="G12" s="24" t="s">
        <v>39</v>
      </c>
      <c r="L12" s="47"/>
      <c r="M12" s="48"/>
      <c r="N12" s="49"/>
      <c r="O12" s="160"/>
    </row>
    <row r="13" spans="1:15" s="3" customFormat="1" ht="18" customHeight="1">
      <c r="A13" s="25">
        <v>1</v>
      </c>
      <c r="B13" s="150">
        <v>50655</v>
      </c>
      <c r="C13" s="151"/>
      <c r="D13" s="26" t="s">
        <v>7</v>
      </c>
      <c r="E13" s="27">
        <v>1000</v>
      </c>
      <c r="F13" s="28">
        <v>15.35</v>
      </c>
      <c r="G13" s="28">
        <f t="shared" ref="G13:G18" si="0">F13*E13</f>
        <v>15350</v>
      </c>
      <c r="J13" s="51"/>
      <c r="M13" s="4"/>
      <c r="N13" s="4"/>
      <c r="O13" s="160"/>
    </row>
    <row r="14" spans="1:15" s="3" customFormat="1" ht="18" customHeight="1">
      <c r="A14" s="25">
        <v>2</v>
      </c>
      <c r="B14" s="150">
        <v>50755</v>
      </c>
      <c r="C14" s="151"/>
      <c r="D14" s="26" t="s">
        <v>8</v>
      </c>
      <c r="E14" s="27">
        <v>1000</v>
      </c>
      <c r="F14" s="29">
        <v>15.35</v>
      </c>
      <c r="G14" s="28">
        <f t="shared" si="0"/>
        <v>15350</v>
      </c>
      <c r="J14" s="51"/>
      <c r="M14" s="4"/>
      <c r="N14" s="4"/>
      <c r="O14" s="50"/>
    </row>
    <row r="15" spans="1:15" s="3" customFormat="1" ht="18" customHeight="1">
      <c r="A15" s="25">
        <v>3</v>
      </c>
      <c r="B15" s="150">
        <v>50665</v>
      </c>
      <c r="C15" s="151"/>
      <c r="D15" s="26" t="s">
        <v>9</v>
      </c>
      <c r="E15" s="27">
        <v>1000</v>
      </c>
      <c r="F15" s="29">
        <v>3.58</v>
      </c>
      <c r="G15" s="28">
        <f t="shared" si="0"/>
        <v>3580</v>
      </c>
      <c r="J15" s="51"/>
      <c r="M15" s="4"/>
      <c r="N15" s="4"/>
      <c r="O15" s="50"/>
    </row>
    <row r="16" spans="1:15" s="3" customFormat="1" ht="18" customHeight="1">
      <c r="A16" s="25">
        <v>4</v>
      </c>
      <c r="B16" s="150">
        <v>50765</v>
      </c>
      <c r="C16" s="151"/>
      <c r="D16" s="26" t="s">
        <v>10</v>
      </c>
      <c r="E16" s="27">
        <v>1000</v>
      </c>
      <c r="F16" s="29">
        <v>3.58</v>
      </c>
      <c r="G16" s="28">
        <f t="shared" si="0"/>
        <v>3580</v>
      </c>
      <c r="J16" s="51"/>
      <c r="M16" s="4"/>
      <c r="N16" s="4"/>
      <c r="O16" s="50"/>
    </row>
    <row r="17" spans="1:15" s="3" customFormat="1" ht="18" customHeight="1">
      <c r="A17" s="25">
        <v>5</v>
      </c>
      <c r="B17" s="150">
        <v>50720</v>
      </c>
      <c r="C17" s="151"/>
      <c r="D17" s="26" t="s">
        <v>11</v>
      </c>
      <c r="E17" s="27">
        <v>1000</v>
      </c>
      <c r="F17" s="29">
        <v>17.63</v>
      </c>
      <c r="G17" s="28">
        <f t="shared" si="0"/>
        <v>17630</v>
      </c>
      <c r="J17" s="51"/>
      <c r="M17" s="4"/>
      <c r="N17" s="4"/>
      <c r="O17" s="50"/>
    </row>
    <row r="18" spans="1:15" s="3" customFormat="1" ht="18" customHeight="1">
      <c r="A18" s="30">
        <v>6</v>
      </c>
      <c r="B18" s="150">
        <v>50730</v>
      </c>
      <c r="C18" s="151"/>
      <c r="D18" s="31" t="s">
        <v>12</v>
      </c>
      <c r="E18" s="27">
        <v>1000</v>
      </c>
      <c r="F18" s="28">
        <v>17.63</v>
      </c>
      <c r="G18" s="28">
        <f t="shared" si="0"/>
        <v>17630</v>
      </c>
      <c r="J18" s="51"/>
      <c r="M18" s="4"/>
      <c r="N18" s="4"/>
      <c r="O18" s="50"/>
    </row>
    <row r="19" spans="1:15" s="4" customFormat="1" ht="16.5" customHeight="1">
      <c r="A19" s="161" t="s">
        <v>13</v>
      </c>
      <c r="B19" s="162"/>
      <c r="C19" s="163"/>
      <c r="D19" s="32"/>
      <c r="E19" s="154">
        <f>SUM(E13:E18)</f>
        <v>6000</v>
      </c>
      <c r="F19" s="156"/>
      <c r="G19" s="158">
        <f>SUM(G13:G18)</f>
        <v>73120</v>
      </c>
      <c r="H19" s="33"/>
    </row>
    <row r="20" spans="1:15" s="4" customFormat="1" ht="13.5" customHeight="1">
      <c r="A20" s="164"/>
      <c r="B20" s="165"/>
      <c r="C20" s="166"/>
      <c r="D20" s="34"/>
      <c r="E20" s="155"/>
      <c r="F20" s="157"/>
      <c r="G20" s="159"/>
    </row>
    <row r="21" spans="1:15" s="4" customFormat="1" ht="30" hidden="1" customHeight="1">
      <c r="A21" s="152" t="s">
        <v>40</v>
      </c>
      <c r="B21" s="152"/>
      <c r="C21" s="152"/>
      <c r="D21" s="152"/>
      <c r="E21" s="152"/>
      <c r="F21" s="152"/>
      <c r="G21" s="152"/>
      <c r="J21" s="52"/>
    </row>
    <row r="22" spans="1:15" s="4" customFormat="1" ht="30" customHeight="1">
      <c r="A22" s="153" t="s">
        <v>41</v>
      </c>
      <c r="B22" s="153"/>
      <c r="C22" s="153"/>
      <c r="D22" s="153"/>
      <c r="E22" s="153"/>
      <c r="F22" s="153"/>
      <c r="G22" s="153"/>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53" t="s">
        <v>42</v>
      </c>
      <c r="B27" s="153"/>
      <c r="C27" s="153"/>
      <c r="D27" s="153"/>
      <c r="E27" s="153"/>
      <c r="F27" s="153"/>
      <c r="G27" s="153"/>
      <c r="J27" s="52"/>
    </row>
    <row r="28" spans="1:15" s="5" customFormat="1" ht="19.5" customHeight="1">
      <c r="A28" s="36" t="s">
        <v>43</v>
      </c>
      <c r="C28" s="36"/>
      <c r="D28" s="36"/>
      <c r="G28" s="36"/>
      <c r="M28" s="53"/>
      <c r="N28" s="53"/>
    </row>
    <row r="29" spans="1:15" s="5" customFormat="1" ht="19.5" customHeight="1">
      <c r="A29" s="36" t="s">
        <v>44</v>
      </c>
      <c r="C29" s="36"/>
      <c r="D29" s="36"/>
      <c r="G29" s="18"/>
      <c r="M29" s="53"/>
      <c r="N29" s="53"/>
    </row>
    <row r="30" spans="1:15" s="6" customFormat="1" ht="19.5" customHeight="1">
      <c r="A30" s="36" t="s">
        <v>45</v>
      </c>
      <c r="C30" s="37"/>
      <c r="D30" s="37"/>
      <c r="G30" s="38"/>
      <c r="M30" s="54"/>
      <c r="N30" s="54"/>
    </row>
    <row r="31" spans="1:15" s="6" customFormat="1" ht="19.5" customHeight="1">
      <c r="A31" s="36" t="s">
        <v>46</v>
      </c>
      <c r="C31" s="36"/>
      <c r="D31" s="36"/>
      <c r="G31" s="36"/>
      <c r="M31" s="54"/>
      <c r="N31" s="54"/>
    </row>
    <row r="32" spans="1:15" s="6" customFormat="1" ht="19.5" customHeight="1">
      <c r="A32" s="36" t="s">
        <v>47</v>
      </c>
      <c r="C32" s="36"/>
      <c r="D32" s="36"/>
      <c r="G32" s="36"/>
      <c r="M32" s="54"/>
      <c r="N32" s="54"/>
    </row>
    <row r="33" spans="1:14" s="6" customFormat="1" ht="19.5" customHeight="1">
      <c r="A33" s="36" t="s">
        <v>48</v>
      </c>
      <c r="C33" s="36"/>
      <c r="D33" s="36"/>
      <c r="G33" s="36"/>
      <c r="M33" s="54"/>
      <c r="N33" s="54"/>
    </row>
    <row r="34" spans="1:14" s="4" customFormat="1" ht="30" customHeight="1">
      <c r="A34" s="153" t="s">
        <v>49</v>
      </c>
      <c r="B34" s="153"/>
      <c r="C34" s="153"/>
      <c r="D34" s="153"/>
      <c r="E34" s="153"/>
      <c r="F34" s="153"/>
      <c r="G34" s="153"/>
      <c r="J34" s="52"/>
    </row>
    <row r="35" spans="1:14" s="5" customFormat="1" ht="19.5" customHeight="1">
      <c r="A35" s="36" t="s">
        <v>50</v>
      </c>
      <c r="C35" s="36"/>
      <c r="D35" s="36"/>
      <c r="G35" s="36"/>
      <c r="M35" s="53"/>
      <c r="N35" s="53"/>
    </row>
    <row r="36" spans="1:14" s="5" customFormat="1" ht="19.5" customHeight="1">
      <c r="A36" s="36" t="s">
        <v>51</v>
      </c>
      <c r="C36" s="36"/>
      <c r="D36" s="36"/>
      <c r="G36" s="18"/>
      <c r="M36" s="53"/>
      <c r="N36" s="53"/>
    </row>
    <row r="37" spans="1:14" s="4" customFormat="1" ht="30" customHeight="1">
      <c r="A37" s="153" t="s">
        <v>52</v>
      </c>
      <c r="B37" s="153"/>
      <c r="C37" s="153"/>
      <c r="D37" s="153"/>
      <c r="E37" s="153"/>
      <c r="F37" s="153"/>
      <c r="G37" s="153"/>
      <c r="J37" s="52"/>
    </row>
    <row r="38" spans="1:14" s="6" customFormat="1" ht="19.5" customHeight="1">
      <c r="A38" s="36" t="s">
        <v>53</v>
      </c>
      <c r="C38" s="36"/>
      <c r="D38" s="36"/>
      <c r="G38" s="36"/>
      <c r="M38" s="54"/>
      <c r="N38" s="54"/>
    </row>
    <row r="39" spans="1:14" s="6" customFormat="1" ht="19.5" customHeight="1">
      <c r="A39" s="36" t="s">
        <v>54</v>
      </c>
      <c r="C39" s="36"/>
      <c r="D39" s="36"/>
      <c r="G39" s="36"/>
      <c r="M39" s="54"/>
      <c r="N39" s="54"/>
    </row>
    <row r="40" spans="1:14" s="4" customFormat="1" ht="30" customHeight="1">
      <c r="A40" s="153" t="s">
        <v>55</v>
      </c>
      <c r="B40" s="153"/>
      <c r="C40" s="153"/>
      <c r="D40" s="153"/>
      <c r="E40" s="153"/>
      <c r="F40" s="153"/>
      <c r="G40" s="153"/>
      <c r="J40" s="52"/>
    </row>
    <row r="41" spans="1:14" s="6" customFormat="1" ht="19.5" customHeight="1">
      <c r="A41" s="171" t="s">
        <v>56</v>
      </c>
      <c r="B41" s="171"/>
      <c r="C41" s="171"/>
      <c r="D41" s="171"/>
      <c r="E41" s="171"/>
      <c r="F41" s="171"/>
      <c r="G41" s="171"/>
      <c r="M41" s="54"/>
      <c r="N41" s="54"/>
    </row>
    <row r="42" spans="1:14" s="6" customFormat="1" ht="44.25" customHeight="1">
      <c r="A42" s="167" t="s">
        <v>57</v>
      </c>
      <c r="B42" s="167"/>
      <c r="C42" s="167"/>
      <c r="D42" s="167"/>
      <c r="E42" s="167"/>
      <c r="F42" s="167"/>
      <c r="G42" s="167"/>
      <c r="M42" s="54"/>
      <c r="N42" s="54"/>
    </row>
    <row r="43" spans="1:14" s="4" customFormat="1" ht="7.5" customHeight="1">
      <c r="A43" s="35"/>
      <c r="B43" s="35"/>
      <c r="C43" s="35"/>
      <c r="D43" s="35"/>
      <c r="E43" s="35"/>
      <c r="F43" s="35"/>
      <c r="G43" s="35"/>
      <c r="J43" s="52"/>
    </row>
    <row r="44" spans="1:14" s="4" customFormat="1" ht="30" customHeight="1">
      <c r="A44" s="153" t="s">
        <v>58</v>
      </c>
      <c r="B44" s="153"/>
      <c r="C44" s="153"/>
      <c r="D44" s="153"/>
      <c r="E44" s="153"/>
      <c r="F44" s="153"/>
      <c r="G44" s="153"/>
      <c r="J44" s="52"/>
    </row>
    <row r="45" spans="1:14" s="6" customFormat="1" ht="58.5" customHeight="1">
      <c r="A45" s="168" t="s">
        <v>59</v>
      </c>
      <c r="B45" s="169"/>
      <c r="C45" s="169"/>
      <c r="D45" s="169"/>
      <c r="E45" s="169"/>
      <c r="F45" s="169"/>
      <c r="G45" s="169"/>
      <c r="M45" s="54"/>
      <c r="N45" s="54"/>
    </row>
    <row r="46" spans="1:14" s="4" customFormat="1" ht="7.5" customHeight="1">
      <c r="A46" s="35"/>
      <c r="B46" s="35"/>
      <c r="C46" s="35"/>
      <c r="D46" s="35"/>
      <c r="E46" s="35"/>
      <c r="F46" s="35"/>
      <c r="G46" s="35"/>
      <c r="J46" s="52"/>
    </row>
    <row r="47" spans="1:14" s="4" customFormat="1" ht="30" customHeight="1">
      <c r="A47" s="153" t="s">
        <v>60</v>
      </c>
      <c r="B47" s="153"/>
      <c r="C47" s="153"/>
      <c r="D47" s="153"/>
      <c r="E47" s="153"/>
      <c r="F47" s="153"/>
      <c r="G47" s="153"/>
      <c r="J47" s="52"/>
    </row>
    <row r="48" spans="1:14" s="6" customFormat="1" ht="46.5" customHeight="1">
      <c r="A48" s="170" t="s">
        <v>61</v>
      </c>
      <c r="B48" s="170"/>
      <c r="C48" s="170"/>
      <c r="D48" s="170"/>
      <c r="E48" s="170"/>
      <c r="F48" s="170"/>
      <c r="G48" s="170"/>
      <c r="M48" s="54"/>
      <c r="N48" s="54"/>
    </row>
    <row r="49" spans="1:14" s="6" customFormat="1" ht="19.5" customHeight="1">
      <c r="A49" s="36"/>
      <c r="C49" s="36"/>
      <c r="D49" s="36"/>
      <c r="G49" s="36"/>
      <c r="M49" s="54"/>
      <c r="N49" s="54"/>
    </row>
    <row r="50" spans="1:14" s="6" customFormat="1" ht="19.5" customHeight="1">
      <c r="A50" s="153" t="s">
        <v>62</v>
      </c>
      <c r="B50" s="153"/>
      <c r="C50" s="153"/>
      <c r="D50" s="153"/>
      <c r="E50" s="153"/>
      <c r="F50" s="153"/>
      <c r="G50" s="153"/>
      <c r="M50" s="54"/>
      <c r="N50" s="54"/>
    </row>
    <row r="51" spans="1:14" s="6" customFormat="1" ht="19.5" customHeight="1">
      <c r="A51" s="39" t="s">
        <v>63</v>
      </c>
      <c r="B51" s="39"/>
      <c r="C51" s="39"/>
      <c r="D51" s="39"/>
      <c r="E51" s="39" t="s">
        <v>64</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65</v>
      </c>
      <c r="C53" s="43"/>
      <c r="D53" s="2"/>
      <c r="E53" s="36" t="s">
        <v>65</v>
      </c>
      <c r="G53" s="44"/>
    </row>
    <row r="54" spans="1:14">
      <c r="A54" s="36" t="s">
        <v>66</v>
      </c>
      <c r="E54" s="36" t="s">
        <v>66</v>
      </c>
    </row>
  </sheetData>
  <mergeCells count="31">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 ref="B16:C16"/>
    <mergeCell ref="B17:C17"/>
    <mergeCell ref="B18:C18"/>
    <mergeCell ref="A21:G21"/>
    <mergeCell ref="A22:G22"/>
    <mergeCell ref="A11:G11"/>
    <mergeCell ref="B12:C12"/>
    <mergeCell ref="B13:C13"/>
    <mergeCell ref="B14:C14"/>
    <mergeCell ref="B15:C15"/>
    <mergeCell ref="A1:G1"/>
    <mergeCell ref="B5:G5"/>
    <mergeCell ref="B7:F7"/>
    <mergeCell ref="B8:G8"/>
    <mergeCell ref="A10:G10"/>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2026-04-27T08:28:04Z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