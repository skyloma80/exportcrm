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mc:AlternateContent xmlns:mc="http://schemas.openxmlformats.org/markup-compatibility/2006">
    <mc:Choice Requires="x15">
      <x15ac:absPath xmlns:x15ac="http://schemas.microsoft.com/office/spreadsheetml/2010/11/ac" url="D:\exportcrm\excel-template\"/>
    </mc:Choice>
  </mc:AlternateContent>
  <xr:revisionPtr revIDLastSave="0" documentId="13_ncr:1_{78B6C217-F013-4A72-81AC-51BCEB7D3345}" xr6:coauthVersionLast="47" xr6:coauthVersionMax="47" xr10:uidLastSave="{00000000-0000-0000-0000-000000000000}"/>
  <bookViews>
    <workbookView xWindow="-108" yWindow="-108" windowWidth="23256" windowHeight="12456" xr2:uid="{00000000-000D-0000-FFFF-FFFF00000000}"/>
  </bookViews>
  <sheets>
    <sheet name="PI" sheetId="9" r:id="rId1"/>
    <sheet name="contract" sheetId="8" state="hidden" r:id="rId2"/>
  </sheets>
  <definedNames>
    <definedName name="Excel_BuiltIn_Print_Area_1_1">#REF!</definedName>
    <definedName name="Excel_BuiltIn_Print_Titles_1_1">#REF!</definedName>
    <definedName name="LISCO_LIMITED_UNIT_1603__16_F.__YEN_SHENG_CENTRE__64_HOI_YUEN_ROAD__KWUN_TONG__KOWLOON__HONG_KONG">#REF!</definedName>
    <definedName name="_xlnm.Print_Area" localSheetId="1">contract!$A$1:$G$57</definedName>
    <definedName name="_xlnm.Print_Area" localSheetId="0">PI!$A$1:$H$34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2" i="9" l="1"/>
  <c r="E52" i="8"/>
  <c r="A52" i="8"/>
  <c r="E19" i="8"/>
  <c r="G18" i="8"/>
  <c r="G17" i="8"/>
  <c r="G16" i="8"/>
  <c r="G19" i="8" s="1"/>
  <c r="G15" i="8"/>
  <c r="G14" i="8"/>
  <c r="G13" i="8"/>
</calcChain>
</file>

<file path=xl/sharedStrings.xml><?xml version="1.0" encoding="utf-8"?>
<sst xmlns="http://schemas.openxmlformats.org/spreadsheetml/2006/main" count="120" uniqueCount="114">
  <si>
    <t>Chongqing Alustars International Co.,Ltd.</t>
  </si>
  <si>
    <t>A2602-003</t>
  </si>
  <si>
    <t>Montesa Honda, S.A.U.</t>
  </si>
  <si>
    <t>No.</t>
  </si>
  <si>
    <t>Part Number</t>
  </si>
  <si>
    <t>Part Name</t>
  </si>
  <si>
    <t>Quantity</t>
  </si>
  <si>
    <t>HOLDER, R STEP</t>
  </si>
  <si>
    <t>HOLDER, L STEP</t>
  </si>
  <si>
    <t>BRACKET, R STEP</t>
  </si>
  <si>
    <t>BRACKET, L STEP</t>
  </si>
  <si>
    <t>ARM, R STEP</t>
  </si>
  <si>
    <t>ARM, L STEP</t>
  </si>
  <si>
    <t>Total:</t>
  </si>
  <si>
    <t xml:space="preserve"> </t>
  </si>
  <si>
    <t>Each product is packed in an individual package with proper protection</t>
  </si>
  <si>
    <t>Boxes not exceed 15kgs, on which put a label with barcode as specified</t>
  </si>
  <si>
    <t>Material must be palletized</t>
  </si>
  <si>
    <t>China Office</t>
  </si>
  <si>
    <t>Spain Office</t>
  </si>
  <si>
    <t>No.194,Jiarui Avenue,Beibei District, 400707 Chongqing, China</t>
  </si>
  <si>
    <t>Valencia 264 Principal, 08007 Barcelona, Spain</t>
  </si>
  <si>
    <t>Tel: +86 15923354664</t>
  </si>
  <si>
    <t>Tel: (+34) 607630594</t>
  </si>
  <si>
    <t>Email: z.zela@alustars.com</t>
  </si>
  <si>
    <t>Email: c.feliu@alustars.com</t>
  </si>
  <si>
    <t>SALES CONTRACT</t>
  </si>
  <si>
    <t>Contract No.:</t>
  </si>
  <si>
    <t xml:space="preserve"> Date: </t>
  </si>
  <si>
    <t>2026/3/20</t>
  </si>
  <si>
    <t>THE SELLER:</t>
  </si>
  <si>
    <t>CHONGQING ALUSTARS INTERNATIONAL CO.,LTD.</t>
  </si>
  <si>
    <t>No.194, Jiarui Avenue,Beibei District, Chongqing 400707,China
TAX ID 91500109MADTT20C93</t>
  </si>
  <si>
    <t xml:space="preserve">THE BUYER: </t>
  </si>
  <si>
    <t>Carrer del Mar del Nord, Num 1
08130 SANTA PERPETUA DE MOGODA
Barcelona, SPAIN
N.I.F. A-28-637098 / VAT No.ES A28/637098</t>
  </si>
  <si>
    <t>This Sales Confirmation is made by and between the Seller and the Buyer, whereby the seller agrees to sell and the buyer agrees to buy the under-mentioned goods subject to the terms and conditions stipulated below:</t>
  </si>
  <si>
    <t>1. Description of Goods</t>
  </si>
  <si>
    <t>Item No.</t>
  </si>
  <si>
    <t>Unit Price</t>
  </si>
  <si>
    <t>Amount</t>
  </si>
  <si>
    <t>SAY TOTAL EURO SEVENTY THREE THOUSAND ONE HUNDRED AND TWENTY ONLY.</t>
  </si>
  <si>
    <t xml:space="preserve">2. Packaging </t>
  </si>
  <si>
    <t>3. Shipping Terms</t>
  </si>
  <si>
    <t>Port of Loading: Shenzhen, China</t>
  </si>
  <si>
    <t>Port of Destination: Barcelona, Spain</t>
  </si>
  <si>
    <t xml:space="preserve">Shpping Date: On or before </t>
  </si>
  <si>
    <t>Shipping Method: By air</t>
  </si>
  <si>
    <t>Partial Shipment: Allowed</t>
  </si>
  <si>
    <t>Transshipment: Allowed</t>
  </si>
  <si>
    <t>4. Price &amp; Payment Terms</t>
  </si>
  <si>
    <t>Price Term: in EUR, DDP without VAT</t>
  </si>
  <si>
    <t xml:space="preserve">Payment Term: the buyer shall make payment via T/T 60 days after arrival of goods </t>
  </si>
  <si>
    <t>5. Freight / Insurance / Duties &amp; Taxes</t>
  </si>
  <si>
    <t xml:space="preserve">Freight, Insurance and import duties shall be covered by the Seller. </t>
  </si>
  <si>
    <t>Import VAT shall be covered by the Buyer.</t>
  </si>
  <si>
    <t>6. Inspection</t>
  </si>
  <si>
    <r>
      <rPr>
        <b/>
        <sz val="10"/>
        <rFont val="Univers"/>
        <family val="2"/>
      </rPr>
      <t xml:space="preserve">Pre-shipment Inspection: </t>
    </r>
    <r>
      <rPr>
        <sz val="10"/>
        <rFont val="Univers"/>
        <family val="2"/>
      </rPr>
      <t>the goods will be inspected by the Seller and sumbmit qualified inspection report.</t>
    </r>
  </si>
  <si>
    <r>
      <rPr>
        <b/>
        <sz val="10"/>
        <rFont val="Univers"/>
        <family val="2"/>
      </rPr>
      <t>Post-delivery Inspection:</t>
    </r>
    <r>
      <rPr>
        <sz val="10"/>
        <rFont val="Univers"/>
        <family val="2"/>
      </rPr>
      <t xml:space="preserve"> the Buyer shall have the right to inspect the goods upon arrival. Any claim for quality discrepancy must be made within 30 days of delivery, supported by a survey report issued by a reputable inspction agency.</t>
    </r>
  </si>
  <si>
    <t>7. Delivery Address</t>
  </si>
  <si>
    <t>C/ del MAR del NORD, No.1
P.Ind.LA TPRRE DEL RECTOR
08130 STA.PERPETUA de MOGODA
tel.(+34) 93 574 07 70</t>
  </si>
  <si>
    <t>8. General Conditions</t>
  </si>
  <si>
    <t>This order is subject to the terms and conditions of the General Agreement for Purchase of Parts signed by both parties on Dec 5, 2025. All provisions of the General Agreement, including but not limited to intellectual property rights, confidentiality, and liability clauses, shall apply fully to this transaction.</t>
  </si>
  <si>
    <t>9. Signatures</t>
  </si>
  <si>
    <t xml:space="preserve"> THE SELLER:                                                                   </t>
  </si>
  <si>
    <t xml:space="preserve"> THE BUYER:</t>
  </si>
  <si>
    <t>Authorized Signature:</t>
  </si>
  <si>
    <t>Date: Mar.20, 2026</t>
  </si>
  <si>
    <t>PROFORMA INVOICE</t>
    <phoneticPr fontId="15" type="noConversion"/>
  </si>
  <si>
    <t xml:space="preserve"> </t>
    <phoneticPr fontId="15" type="noConversion"/>
  </si>
  <si>
    <t>PO No.</t>
    <phoneticPr fontId="15" type="noConversion"/>
  </si>
  <si>
    <t>Invoice No.</t>
    <phoneticPr fontId="15" type="noConversion"/>
  </si>
  <si>
    <t>Date:</t>
    <phoneticPr fontId="15" type="noConversion"/>
  </si>
  <si>
    <t xml:space="preserve"> VAT 91500109MADTT20C92</t>
    <phoneticPr fontId="15" type="noConversion"/>
  </si>
  <si>
    <t xml:space="preserve"> www.alustars.com</t>
    <phoneticPr fontId="15" type="noConversion"/>
  </si>
  <si>
    <t xml:space="preserve">TO: </t>
    <phoneticPr fontId="15" type="noConversion"/>
  </si>
  <si>
    <t>TROCOMP S.A.</t>
    <phoneticPr fontId="15" type="noConversion"/>
  </si>
  <si>
    <t>Add.</t>
    <phoneticPr fontId="15" type="noConversion"/>
  </si>
  <si>
    <t>NIF:</t>
    <phoneticPr fontId="15" type="noConversion"/>
  </si>
  <si>
    <t>C/  Cadí, 18  -  Pol. Ind. Celrà 17460  Celrà (Girona)</t>
    <phoneticPr fontId="15" type="noConversion"/>
  </si>
  <si>
    <t>A17205873</t>
    <phoneticPr fontId="15" type="noConversion"/>
  </si>
  <si>
    <t xml:space="preserve">Supplier ID </t>
    <phoneticPr fontId="15" type="noConversion"/>
  </si>
  <si>
    <t>Description</t>
    <phoneticPr fontId="15" type="noConversion"/>
  </si>
  <si>
    <t>Unit Price</t>
    <phoneticPr fontId="15" type="noConversion"/>
  </si>
  <si>
    <t>Amount</t>
    <phoneticPr fontId="15" type="noConversion"/>
  </si>
  <si>
    <t>Terms and Conditions</t>
    <phoneticPr fontId="15" type="noConversion"/>
  </si>
  <si>
    <t xml:space="preserve">    Payment Term:</t>
    <phoneticPr fontId="15" type="noConversion"/>
  </si>
  <si>
    <t>26-00336</t>
    <phoneticPr fontId="15" type="noConversion"/>
  </si>
  <si>
    <t>A2604-001</t>
    <phoneticPr fontId="15" type="noConversion"/>
  </si>
  <si>
    <t>Apr 20, 2026</t>
    <phoneticPr fontId="15" type="noConversion"/>
  </si>
  <si>
    <t>Unit</t>
    <phoneticPr fontId="15" type="noConversion"/>
  </si>
  <si>
    <t>PCS</t>
    <phoneticPr fontId="15" type="noConversion"/>
  </si>
  <si>
    <t>TOTAL</t>
    <phoneticPr fontId="15" type="noConversion"/>
  </si>
  <si>
    <t>T/T 30% advance (1492.50 euros), 70% before shipment (3482.50 euros)</t>
    <phoneticPr fontId="15" type="noConversion"/>
  </si>
  <si>
    <t xml:space="preserve">    Price Term:</t>
    <phoneticPr fontId="15" type="noConversion"/>
  </si>
  <si>
    <t>EXW Shenzhen</t>
    <phoneticPr fontId="15" type="noConversion"/>
  </si>
  <si>
    <t xml:space="preserve">    Country of Origin:</t>
    <phoneticPr fontId="15" type="noConversion"/>
  </si>
  <si>
    <t>Spain</t>
    <phoneticPr fontId="15" type="noConversion"/>
  </si>
  <si>
    <t xml:space="preserve">    Country of Destination:</t>
    <phoneticPr fontId="15" type="noConversion"/>
  </si>
  <si>
    <t>China</t>
    <phoneticPr fontId="15" type="noConversion"/>
  </si>
  <si>
    <t xml:space="preserve">    Port of Loading:</t>
    <phoneticPr fontId="15" type="noConversion"/>
  </si>
  <si>
    <t xml:space="preserve">    Port of Discharge:</t>
    <phoneticPr fontId="15" type="noConversion"/>
  </si>
  <si>
    <t xml:space="preserve">    Mode of Shipment:</t>
    <phoneticPr fontId="15" type="noConversion"/>
  </si>
  <si>
    <t xml:space="preserve">    Time of Delivery</t>
    <phoneticPr fontId="15" type="noConversion"/>
  </si>
  <si>
    <t>Shenzhen</t>
    <phoneticPr fontId="15" type="noConversion"/>
  </si>
  <si>
    <t>Barcelona</t>
    <phoneticPr fontId="15" type="noConversion"/>
  </si>
  <si>
    <t>TBD</t>
    <phoneticPr fontId="15" type="noConversion"/>
  </si>
  <si>
    <t>25 days</t>
    <phoneticPr fontId="15" type="noConversion"/>
  </si>
  <si>
    <t>Remittance Instructions</t>
    <phoneticPr fontId="15" type="noConversion"/>
  </si>
  <si>
    <t>Signed by</t>
    <phoneticPr fontId="15" type="noConversion"/>
  </si>
  <si>
    <t xml:space="preserve">    1. BENEFICIARY NAME:CHONGQING ALUSTARS INTERNATIONAL CO.,LTD </t>
    <phoneticPr fontId="15" type="noConversion"/>
  </si>
  <si>
    <t xml:space="preserve">    Carlos Feliu
    VP of Business Development                                                      (Company Seal)</t>
    <phoneticPr fontId="15" type="noConversion"/>
  </si>
  <si>
    <t>Pilot Light Torch Tube</t>
    <phoneticPr fontId="15" type="noConversion"/>
  </si>
  <si>
    <t>0080-2062-0843</t>
    <phoneticPr fontId="15" type="noConversion"/>
  </si>
  <si>
    <t>0897</t>
    <phoneticPr fontId="1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</si>
</sst>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 #,##0.00_ ;_ * \-#,##0.00_ ;_ * &quot;-&quot;??_ ;_ @_ "/>
    <numFmt numFmtId="176" formatCode="_ * #,##0_ ;_ * \-#,##0_ ;_ * &quot;-&quot;??_ ;_ @_ "/>
    <numFmt numFmtId="177" formatCode="yyyy\-mm\-dd;@"/>
    <numFmt numFmtId="178" formatCode="#&quot;-MKTD000&quot;"/>
    <numFmt numFmtId="179" formatCode="#,##0_ "/>
    <numFmt numFmtId="180" formatCode="#,##0.00_ "/>
    <numFmt numFmtId="181" formatCode="&quot;US$&quot;#,##0.00;\-&quot;US$&quot;#,##0.00"/>
    <numFmt numFmtId="182" formatCode="#,##0.0000_ "/>
    <numFmt numFmtId="183" formatCode="_ * #,##0.0000_ ;_ * \-#,##0.0000_ ;_ * &quot;-&quot;??.00_ ;_ @_ "/>
    <numFmt numFmtId="184" formatCode="_ * #,##0.000_ ;_ * \-#,##0.000_ ;_ * &quot;-&quot;??.0_ ;_ @_ "/>
    <numFmt numFmtId="185" formatCode="_ * #,##0.00000_ ;_ * \-#,##0.00000_ ;_ * &quot;-&quot;??.000_ ;_ @_ "/>
    <numFmt numFmtId="186" formatCode="[$EUR]\ #,##0.00;[Red][$EUR]\ #,##0.00"/>
  </numFmts>
  <fonts count="30" x14ac:knownFonts="1">
    <font>
      <sz val="11"/>
      <color theme="1"/>
      <name val="宋体"/>
      <charset val="134"/>
      <scheme val="minor"/>
    </font>
    <font>
      <sz val="12"/>
      <name val="Univers"/>
      <family val="2"/>
    </font>
    <font>
      <sz val="11"/>
      <name val="Univers"/>
      <family val="2"/>
    </font>
    <font>
      <sz val="10"/>
      <name val="Univers"/>
      <family val="2"/>
    </font>
    <font>
      <b/>
      <sz val="15"/>
      <name val="Univers"/>
      <family val="2"/>
    </font>
    <font>
      <sz val="10.5"/>
      <name val="Univers"/>
      <family val="2"/>
    </font>
    <font>
      <b/>
      <sz val="11"/>
      <color rgb="FF000000"/>
      <name val="Univers"/>
      <family val="2"/>
    </font>
    <font>
      <b/>
      <u/>
      <sz val="12"/>
      <name val="Univers"/>
      <family val="2"/>
    </font>
    <font>
      <sz val="8.5"/>
      <name val="Univers"/>
      <family val="2"/>
    </font>
    <font>
      <b/>
      <sz val="10.5"/>
      <name val="Univers"/>
      <family val="2"/>
    </font>
    <font>
      <sz val="9"/>
      <name val="Univers"/>
      <family val="2"/>
    </font>
    <font>
      <b/>
      <sz val="11"/>
      <name val="Univers"/>
      <family val="2"/>
    </font>
    <font>
      <b/>
      <sz val="10"/>
      <name val="Univers"/>
      <family val="2"/>
    </font>
    <font>
      <sz val="12"/>
      <name val="宋体"/>
      <family val="3"/>
      <charset val="134"/>
    </font>
    <font>
      <sz val="11"/>
      <color theme="1"/>
      <name val="宋体"/>
      <family val="3"/>
      <charset val="134"/>
      <scheme val="minor"/>
    </font>
    <font>
      <sz val="9"/>
      <name val="宋体"/>
      <family val="3"/>
      <charset val="134"/>
      <scheme val="minor"/>
    </font>
    <font>
      <b/>
      <sz val="16"/>
      <name val="Calibri"/>
      <family val="2"/>
    </font>
    <font>
      <sz val="12"/>
      <name val="Calibri"/>
      <family val="2"/>
    </font>
    <font>
      <sz val="16"/>
      <name val="Calibri"/>
      <family val="2"/>
    </font>
    <font>
      <sz val="16"/>
      <color theme="5"/>
      <name val="Calibri"/>
      <family val="2"/>
    </font>
    <font>
      <sz val="11"/>
      <name val="Calibri"/>
      <family val="2"/>
    </font>
    <font>
      <b/>
      <sz val="11"/>
      <name val="Calibri"/>
      <family val="2"/>
    </font>
    <font>
      <strike/>
      <sz val="11"/>
      <name val="Calibri"/>
      <family val="2"/>
    </font>
    <font>
      <sz val="24"/>
      <name val="Calibri"/>
      <family val="2"/>
    </font>
    <font>
      <b/>
      <sz val="11"/>
      <color theme="4"/>
      <name val="Calibri"/>
      <family val="2"/>
    </font>
    <font>
      <sz val="10"/>
      <name val="Calibri"/>
      <family val="2"/>
    </font>
    <font>
      <sz val="11"/>
      <color rgb="FF00B0F0"/>
      <name val="Calibri"/>
      <family val="2"/>
    </font>
    <font>
      <sz val="12"/>
      <color theme="5"/>
      <name val="Calibri"/>
      <family val="2"/>
    </font>
    <font>
      <b/>
      <sz val="12"/>
      <color theme="4" tint="-0.249977111117893"/>
      <name val="Calibri"/>
      <family val="2"/>
    </font>
    <font>
      <b/>
      <sz val="23"/>
      <name val="Calibri"/>
      <family val="2"/>
    </font>
  </fonts>
  <fills count="4">
    <fill>
      <patternFill patternType="none"/>
    </fill>
    <fill>
      <patternFill patternType="gray125"/>
    </fill>
    <fill>
      <patternFill patternType="solid">
        <fgColor theme="3" tint="0.79992065187536243"/>
        <bgColor indexed="64"/>
      </patternFill>
    </fill>
    <fill>
      <patternFill patternType="solid">
        <fgColor theme="2"/>
        <bgColor indexed="64"/>
      </patternFill>
    </fill>
  </fills>
  <borders count="19">
    <border>
      <left/>
      <right/>
      <top/>
      <bottom/>
      <diagonal/>
    </border>
    <border>
      <left/>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thin">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auto="1"/>
      </right>
      <top/>
      <bottom style="thin">
        <color auto="1"/>
      </bottom>
      <diagonal/>
    </border>
    <border>
      <left/>
      <right/>
      <top/>
      <bottom style="medium">
        <color theme="2" tint="-9.985656300546282E-2"/>
      </bottom>
      <diagonal/>
    </border>
    <border>
      <left/>
      <right/>
      <top/>
      <bottom style="medium">
        <color theme="2" tint="-9.9948118533890809E-2"/>
      </bottom>
      <diagonal/>
    </border>
    <border>
      <left/>
      <right/>
      <top style="medium">
        <color theme="2" tint="-9.985656300546282E-2"/>
      </top>
      <bottom/>
      <diagonal/>
    </border>
    <border>
      <left/>
      <right/>
      <top style="medium">
        <color theme="2" tint="-9.9948118533890809E-2"/>
      </top>
      <bottom/>
      <diagonal/>
    </border>
  </borders>
  <cellStyleXfs count="5">
    <xf numFmtId="0" fontId="0" fillId="0" borderId="0">
      <alignment vertical="center"/>
    </xf>
    <xf numFmtId="0" fontId="14" fillId="0" borderId="0">
      <alignment vertical="center"/>
    </xf>
    <xf numFmtId="43" fontId="13" fillId="0" borderId="0" applyFont="0" applyFill="0" applyBorder="0" applyAlignment="0" applyProtection="0">
      <alignment vertical="center"/>
    </xf>
    <xf numFmtId="0" fontId="13" fillId="0" borderId="0">
      <alignment vertical="center"/>
    </xf>
    <xf numFmtId="0" fontId="14" fillId="0" borderId="0">
      <alignment vertical="center"/>
    </xf>
  </cellStyleXfs>
  <cellXfs count="167">
    <xf numFmtId="0" fontId="0" fillId="0" borderId="0" xfId="0">
      <alignment vertical="center"/>
    </xf>
    <xf numFmtId="0" fontId="1" fillId="0" borderId="0" xfId="3" applyFont="1">
      <alignment vertical="center"/>
    </xf>
    <xf numFmtId="43" fontId="1" fillId="0" borderId="0" xfId="2" applyFont="1" applyBorder="1" applyAlignment="1">
      <alignment vertical="center"/>
    </xf>
    <xf numFmtId="43" fontId="2" fillId="0" borderId="0" xfId="2" applyFont="1" applyBorder="1" applyAlignment="1">
      <alignment vertical="center"/>
    </xf>
    <xf numFmtId="43" fontId="2" fillId="0" borderId="0" xfId="2" applyFont="1" applyBorder="1" applyAlignment="1">
      <alignment horizontal="center" vertical="center"/>
    </xf>
    <xf numFmtId="43" fontId="3" fillId="0" borderId="0" xfId="2" applyFont="1" applyBorder="1" applyAlignment="1">
      <alignment vertical="center"/>
    </xf>
    <xf numFmtId="43" fontId="3" fillId="0" borderId="0" xfId="2" applyFont="1" applyAlignment="1">
      <alignment vertical="center"/>
    </xf>
    <xf numFmtId="49" fontId="1" fillId="0" borderId="0" xfId="2" applyNumberFormat="1" applyFont="1" applyAlignment="1">
      <alignment horizontal="center" vertical="center"/>
    </xf>
    <xf numFmtId="43" fontId="1" fillId="0" borderId="0" xfId="2" applyFont="1" applyAlignment="1">
      <alignment vertical="center"/>
    </xf>
    <xf numFmtId="176" fontId="1" fillId="0" borderId="0" xfId="2" applyNumberFormat="1" applyFont="1" applyAlignment="1">
      <alignment horizontal="right" vertical="center"/>
    </xf>
    <xf numFmtId="176" fontId="1" fillId="0" borderId="0" xfId="2" applyNumberFormat="1" applyFont="1" applyAlignment="1">
      <alignment vertical="center"/>
    </xf>
    <xf numFmtId="43" fontId="1" fillId="0" borderId="0" xfId="2" applyFont="1" applyAlignment="1">
      <alignment horizontal="center" vertical="center"/>
    </xf>
    <xf numFmtId="0" fontId="5" fillId="0" borderId="0" xfId="3" applyFont="1" applyAlignment="1">
      <alignment horizontal="right"/>
    </xf>
    <xf numFmtId="49" fontId="5" fillId="0" borderId="0" xfId="3" applyNumberFormat="1" applyFont="1" applyAlignment="1">
      <alignment horizontal="left"/>
    </xf>
    <xf numFmtId="0" fontId="5" fillId="0" borderId="0" xfId="3" applyFont="1">
      <alignment vertical="center"/>
    </xf>
    <xf numFmtId="0" fontId="6" fillId="0" borderId="0" xfId="3" applyFont="1">
      <alignment vertical="center"/>
    </xf>
    <xf numFmtId="176" fontId="7" fillId="0" borderId="0" xfId="2" applyNumberFormat="1" applyFont="1" applyAlignment="1">
      <alignment horizontal="right" vertical="center"/>
    </xf>
    <xf numFmtId="49" fontId="1" fillId="0" borderId="0" xfId="2" applyNumberFormat="1" applyFont="1" applyBorder="1" applyAlignment="1">
      <alignment horizontal="center" vertical="center"/>
    </xf>
    <xf numFmtId="0" fontId="3" fillId="0" borderId="0" xfId="3" applyFont="1" applyAlignment="1">
      <alignment vertical="center" wrapText="1"/>
    </xf>
    <xf numFmtId="0" fontId="8" fillId="0" borderId="0" xfId="3" applyFont="1" applyAlignment="1">
      <alignment vertical="center" wrapText="1"/>
    </xf>
    <xf numFmtId="176" fontId="1" fillId="0" borderId="0" xfId="2" applyNumberFormat="1" applyFont="1" applyBorder="1" applyAlignment="1">
      <alignment vertical="center"/>
    </xf>
    <xf numFmtId="0" fontId="10" fillId="0" borderId="0" xfId="3" applyFont="1" applyAlignment="1">
      <alignment horizontal="left" wrapText="1"/>
    </xf>
    <xf numFmtId="0" fontId="2" fillId="0" borderId="2" xfId="3" applyFont="1" applyBorder="1" applyAlignment="1">
      <alignment horizontal="center" vertical="center" wrapText="1"/>
    </xf>
    <xf numFmtId="0" fontId="2" fillId="0" borderId="4" xfId="3" applyFont="1" applyBorder="1" applyAlignment="1">
      <alignment horizontal="center" vertical="center" wrapText="1"/>
    </xf>
    <xf numFmtId="0" fontId="2" fillId="0" borderId="5" xfId="3" applyFont="1" applyBorder="1" applyAlignment="1">
      <alignment horizontal="center" vertical="center" wrapText="1"/>
    </xf>
    <xf numFmtId="0" fontId="2" fillId="0" borderId="6" xfId="3" applyFont="1" applyBorder="1" applyAlignment="1">
      <alignment horizontal="center" vertical="center" wrapText="1"/>
    </xf>
    <xf numFmtId="0" fontId="2" fillId="0" borderId="1" xfId="3" applyFont="1" applyBorder="1" applyAlignment="1">
      <alignment horizontal="left" vertical="center" wrapText="1" indent="1"/>
    </xf>
    <xf numFmtId="179" fontId="2" fillId="0" borderId="6" xfId="3" applyNumberFormat="1" applyFont="1" applyBorder="1" applyAlignment="1">
      <alignment horizontal="center" vertical="center" wrapText="1"/>
    </xf>
    <xf numFmtId="180" fontId="2" fillId="0" borderId="5" xfId="3" applyNumberFormat="1" applyFont="1" applyBorder="1" applyAlignment="1">
      <alignment horizontal="center" vertical="center" wrapText="1"/>
    </xf>
    <xf numFmtId="180" fontId="2" fillId="0" borderId="7" xfId="3" applyNumberFormat="1" applyFont="1" applyBorder="1" applyAlignment="1">
      <alignment horizontal="center" vertical="center" wrapText="1"/>
    </xf>
    <xf numFmtId="0" fontId="2" fillId="0" borderId="8" xfId="3" applyFont="1" applyBorder="1" applyAlignment="1">
      <alignment horizontal="center" vertical="center" wrapText="1"/>
    </xf>
    <xf numFmtId="0" fontId="2" fillId="0" borderId="0" xfId="3" applyFont="1" applyAlignment="1">
      <alignment horizontal="left" vertical="center" wrapText="1" indent="1"/>
    </xf>
    <xf numFmtId="0" fontId="2" fillId="0" borderId="11" xfId="3" applyFont="1" applyBorder="1" applyAlignment="1">
      <alignment horizontal="center" vertical="center" wrapText="1"/>
    </xf>
    <xf numFmtId="181" fontId="2" fillId="0" borderId="0" xfId="2" applyNumberFormat="1" applyFont="1" applyBorder="1" applyAlignment="1">
      <alignment horizontal="center" vertical="center"/>
    </xf>
    <xf numFmtId="0" fontId="2" fillId="0" borderId="14" xfId="3" applyFont="1" applyBorder="1" applyAlignment="1">
      <alignment horizontal="center" vertical="center" wrapText="1"/>
    </xf>
    <xf numFmtId="0" fontId="11" fillId="0" borderId="0" xfId="3" applyFont="1" applyAlignment="1">
      <alignment horizontal="left" vertical="center" wrapText="1"/>
    </xf>
    <xf numFmtId="0" fontId="3" fillId="0" borderId="0" xfId="3" applyFont="1">
      <alignment vertical="center"/>
    </xf>
    <xf numFmtId="49" fontId="3" fillId="0" borderId="0" xfId="3" applyNumberFormat="1" applyFont="1">
      <alignment vertical="center"/>
    </xf>
    <xf numFmtId="15" fontId="3" fillId="0" borderId="0" xfId="3" applyNumberFormat="1" applyFont="1">
      <alignment vertical="center"/>
    </xf>
    <xf numFmtId="0" fontId="3" fillId="0" borderId="0" xfId="3" applyFont="1" applyAlignment="1"/>
    <xf numFmtId="0" fontId="3" fillId="0" borderId="0" xfId="2" applyNumberFormat="1" applyFont="1" applyAlignment="1">
      <alignment vertical="center"/>
    </xf>
    <xf numFmtId="176" fontId="3" fillId="0" borderId="0" xfId="2" applyNumberFormat="1" applyFont="1" applyAlignment="1">
      <alignment horizontal="right" vertical="center"/>
    </xf>
    <xf numFmtId="176" fontId="3" fillId="0" borderId="0" xfId="2" applyNumberFormat="1" applyFont="1" applyAlignment="1">
      <alignment vertical="center"/>
    </xf>
    <xf numFmtId="43" fontId="1" fillId="0" borderId="1" xfId="2" applyFont="1" applyBorder="1" applyAlignment="1">
      <alignment vertical="center"/>
    </xf>
    <xf numFmtId="176" fontId="1" fillId="0" borderId="1" xfId="2" applyNumberFormat="1" applyFont="1" applyBorder="1" applyAlignment="1">
      <alignment vertical="center"/>
    </xf>
    <xf numFmtId="0" fontId="1" fillId="0" borderId="0" xfId="3" applyFont="1" applyAlignment="1">
      <alignment horizontal="center" vertical="center"/>
    </xf>
    <xf numFmtId="43" fontId="1" fillId="0" borderId="0" xfId="2" applyFont="1" applyBorder="1" applyAlignment="1">
      <alignment horizontal="center" vertical="center"/>
    </xf>
    <xf numFmtId="182" fontId="2" fillId="0" borderId="0" xfId="2" applyNumberFormat="1" applyFont="1" applyBorder="1" applyAlignment="1">
      <alignment horizontal="center" vertical="center"/>
    </xf>
    <xf numFmtId="183" fontId="2" fillId="0" borderId="0" xfId="2" applyNumberFormat="1" applyFont="1" applyBorder="1" applyAlignment="1">
      <alignment horizontal="center" vertical="center"/>
    </xf>
    <xf numFmtId="184" fontId="2" fillId="0" borderId="0" xfId="2" applyNumberFormat="1" applyFont="1" applyBorder="1" applyAlignment="1">
      <alignment horizontal="center" vertical="center"/>
    </xf>
    <xf numFmtId="43" fontId="2" fillId="0" borderId="0" xfId="2" applyFont="1" applyBorder="1" applyAlignment="1">
      <alignment horizontal="left" vertical="center"/>
    </xf>
    <xf numFmtId="43" fontId="2" fillId="0" borderId="0" xfId="2" applyFont="1" applyBorder="1" applyAlignment="1">
      <alignment horizontal="right" vertical="center"/>
    </xf>
    <xf numFmtId="185" fontId="2" fillId="0" borderId="0" xfId="2" applyNumberFormat="1" applyFont="1" applyBorder="1" applyAlignment="1">
      <alignment horizontal="center" vertical="center"/>
    </xf>
    <xf numFmtId="43" fontId="3" fillId="0" borderId="0" xfId="2" applyFont="1" applyBorder="1" applyAlignment="1">
      <alignment horizontal="center" vertical="center"/>
    </xf>
    <xf numFmtId="43" fontId="3" fillId="0" borderId="0" xfId="2" applyFont="1" applyAlignment="1">
      <alignment horizontal="center" vertical="center"/>
    </xf>
    <xf numFmtId="0" fontId="17" fillId="0" borderId="0" xfId="3" applyFont="1">
      <alignment vertical="center"/>
    </xf>
    <xf numFmtId="0" fontId="17" fillId="0" borderId="0" xfId="3" applyFont="1" applyAlignment="1">
      <alignment horizontal="center" vertical="center"/>
    </xf>
    <xf numFmtId="43" fontId="17" fillId="0" borderId="0" xfId="2" applyFont="1" applyAlignment="1">
      <alignment vertical="center"/>
    </xf>
    <xf numFmtId="176" fontId="17" fillId="0" borderId="0" xfId="2" applyNumberFormat="1" applyFont="1" applyAlignment="1">
      <alignment horizontal="right" vertical="center"/>
    </xf>
    <xf numFmtId="176" fontId="17" fillId="0" borderId="0" xfId="2" applyNumberFormat="1" applyFont="1" applyAlignment="1">
      <alignment vertical="center"/>
    </xf>
    <xf numFmtId="43" fontId="17" fillId="0" borderId="0" xfId="2" applyFont="1" applyAlignment="1">
      <alignment horizontal="center" vertical="center"/>
    </xf>
    <xf numFmtId="43" fontId="20" fillId="0" borderId="0" xfId="2" applyFont="1" applyAlignment="1">
      <alignment vertical="center"/>
    </xf>
    <xf numFmtId="43" fontId="20" fillId="0" borderId="0" xfId="2" applyFont="1" applyAlignment="1">
      <alignment horizontal="center" vertical="center"/>
    </xf>
    <xf numFmtId="49" fontId="17" fillId="0" borderId="0" xfId="2" applyNumberFormat="1" applyFont="1" applyAlignment="1">
      <alignment horizontal="left" vertical="center"/>
    </xf>
    <xf numFmtId="0" fontId="20" fillId="0" borderId="0" xfId="3" applyFont="1" applyAlignment="1">
      <alignment horizontal="center" vertical="top" wrapText="1"/>
    </xf>
    <xf numFmtId="0" fontId="17" fillId="0" borderId="0" xfId="3" applyFont="1" applyAlignment="1">
      <alignment vertical="top"/>
    </xf>
    <xf numFmtId="43" fontId="17" fillId="0" borderId="0" xfId="2" applyFont="1" applyBorder="1" applyAlignment="1">
      <alignment vertical="top"/>
    </xf>
    <xf numFmtId="43" fontId="17" fillId="0" borderId="0" xfId="2" applyFont="1" applyBorder="1" applyAlignment="1">
      <alignment horizontal="center" vertical="top"/>
    </xf>
    <xf numFmtId="43" fontId="20" fillId="0" borderId="0" xfId="2" applyFont="1" applyAlignment="1">
      <alignment vertical="top"/>
    </xf>
    <xf numFmtId="0" fontId="17" fillId="0" borderId="0" xfId="3" applyFont="1" applyAlignment="1">
      <alignment horizontal="center" vertical="top"/>
    </xf>
    <xf numFmtId="43" fontId="20" fillId="0" borderId="0" xfId="2" applyFont="1" applyBorder="1" applyAlignment="1">
      <alignment horizontal="center" vertical="top"/>
    </xf>
    <xf numFmtId="43" fontId="20" fillId="0" borderId="0" xfId="2" applyFont="1" applyBorder="1" applyAlignment="1">
      <alignment horizontal="left" vertical="top"/>
    </xf>
    <xf numFmtId="0" fontId="20" fillId="0" borderId="0" xfId="3" applyFont="1" applyAlignment="1">
      <alignment horizontal="left" vertical="top" wrapText="1"/>
    </xf>
    <xf numFmtId="177" fontId="20" fillId="0" borderId="0" xfId="3" applyNumberFormat="1" applyFont="1" applyAlignment="1">
      <alignment horizontal="center" vertical="top" wrapText="1"/>
    </xf>
    <xf numFmtId="177" fontId="22" fillId="0" borderId="0" xfId="3" applyNumberFormat="1" applyFont="1" applyAlignment="1">
      <alignment horizontal="center" vertical="top" wrapText="1"/>
    </xf>
    <xf numFmtId="49" fontId="20" fillId="0" borderId="0" xfId="3" applyNumberFormat="1" applyFont="1" applyAlignment="1">
      <alignment horizontal="left" vertical="top" wrapText="1"/>
    </xf>
    <xf numFmtId="49" fontId="20" fillId="0" borderId="0" xfId="2" applyNumberFormat="1" applyFont="1" applyBorder="1" applyAlignment="1">
      <alignment horizontal="right" vertical="top"/>
    </xf>
    <xf numFmtId="43" fontId="20" fillId="0" borderId="0" xfId="2" applyFont="1" applyBorder="1" applyAlignment="1">
      <alignment horizontal="center" vertical="center"/>
    </xf>
    <xf numFmtId="43" fontId="20" fillId="0" borderId="0" xfId="2" applyFont="1" applyBorder="1" applyAlignment="1">
      <alignment vertical="center"/>
    </xf>
    <xf numFmtId="43" fontId="24" fillId="2" borderId="0" xfId="2" applyFont="1" applyFill="1" applyBorder="1" applyAlignment="1">
      <alignment horizontal="center" vertical="center"/>
    </xf>
    <xf numFmtId="0" fontId="20" fillId="0" borderId="0" xfId="3" applyFont="1" applyAlignment="1">
      <alignment horizontal="center" vertical="center" wrapText="1"/>
    </xf>
    <xf numFmtId="43" fontId="20" fillId="0" borderId="0" xfId="2" applyFont="1" applyBorder="1" applyAlignment="1">
      <alignment horizontal="right" vertical="center"/>
    </xf>
    <xf numFmtId="43" fontId="20" fillId="0" borderId="0" xfId="2" applyFont="1" applyBorder="1" applyAlignment="1">
      <alignment horizontal="left" vertical="center"/>
    </xf>
    <xf numFmtId="181" fontId="20" fillId="0" borderId="0" xfId="2" applyNumberFormat="1" applyFont="1" applyBorder="1" applyAlignment="1">
      <alignment horizontal="center" vertical="center"/>
    </xf>
    <xf numFmtId="185" fontId="20" fillId="0" borderId="0" xfId="2" applyNumberFormat="1" applyFont="1" applyBorder="1" applyAlignment="1">
      <alignment horizontal="center" vertical="center"/>
    </xf>
    <xf numFmtId="0" fontId="24" fillId="0" borderId="0" xfId="3" applyFont="1" applyAlignment="1">
      <alignment horizontal="left" wrapText="1"/>
    </xf>
    <xf numFmtId="0" fontId="21" fillId="0" borderId="0" xfId="3" applyFont="1" applyAlignment="1">
      <alignment horizontal="left" vertical="center" wrapText="1"/>
    </xf>
    <xf numFmtId="185" fontId="20" fillId="0" borderId="0" xfId="2" applyNumberFormat="1" applyFont="1" applyBorder="1" applyAlignment="1">
      <alignment horizontal="center" vertical="top"/>
    </xf>
    <xf numFmtId="43" fontId="25" fillId="0" borderId="0" xfId="2" applyFont="1" applyAlignment="1">
      <alignment vertical="center"/>
    </xf>
    <xf numFmtId="43" fontId="25" fillId="0" borderId="0" xfId="2" applyFont="1" applyAlignment="1">
      <alignment horizontal="center" vertical="center"/>
    </xf>
    <xf numFmtId="0" fontId="26" fillId="0" borderId="15" xfId="3" applyFont="1" applyBorder="1" applyAlignment="1"/>
    <xf numFmtId="0" fontId="20" fillId="0" borderId="0" xfId="3" applyFont="1" applyAlignment="1"/>
    <xf numFmtId="0" fontId="20" fillId="0" borderId="0" xfId="3" applyFont="1">
      <alignment vertical="center"/>
    </xf>
    <xf numFmtId="0" fontId="17" fillId="0" borderId="0" xfId="2" applyNumberFormat="1" applyFont="1" applyAlignment="1">
      <alignment vertical="center"/>
    </xf>
    <xf numFmtId="43" fontId="17" fillId="0" borderId="0" xfId="2" applyFont="1" applyBorder="1" applyAlignment="1">
      <alignment vertical="center"/>
    </xf>
    <xf numFmtId="49" fontId="17" fillId="0" borderId="0" xfId="2" applyNumberFormat="1" applyFont="1" applyAlignment="1">
      <alignment horizontal="center" vertical="center"/>
    </xf>
    <xf numFmtId="0" fontId="21" fillId="0" borderId="0" xfId="3" applyFont="1" applyAlignment="1">
      <alignment horizontal="center" vertical="top"/>
    </xf>
    <xf numFmtId="43" fontId="17" fillId="0" borderId="0" xfId="2" applyFont="1" applyBorder="1" applyAlignment="1">
      <alignment horizontal="left" vertical="top"/>
    </xf>
    <xf numFmtId="0" fontId="21" fillId="0" borderId="0" xfId="3" applyFont="1" applyAlignment="1">
      <alignment horizontal="left" vertical="center"/>
    </xf>
    <xf numFmtId="0" fontId="17" fillId="0" borderId="0" xfId="3" applyFont="1" applyAlignment="1">
      <alignment horizontal="left" vertical="center"/>
    </xf>
    <xf numFmtId="49" fontId="19" fillId="0" borderId="0" xfId="2" applyNumberFormat="1" applyFont="1" applyBorder="1" applyAlignment="1">
      <alignment horizontal="left" vertical="center"/>
    </xf>
    <xf numFmtId="0" fontId="16" fillId="0" borderId="0" xfId="3" applyFont="1" applyAlignment="1"/>
    <xf numFmtId="43" fontId="18" fillId="0" borderId="0" xfId="2" applyFont="1" applyBorder="1" applyAlignment="1">
      <alignment horizontal="left" vertical="top"/>
    </xf>
    <xf numFmtId="49" fontId="18" fillId="0" borderId="0" xfId="2" applyNumberFormat="1" applyFont="1" applyBorder="1" applyAlignment="1">
      <alignment horizontal="left" vertical="center"/>
    </xf>
    <xf numFmtId="49" fontId="20" fillId="0" borderId="0" xfId="3" applyNumberFormat="1" applyFont="1" applyAlignment="1">
      <alignment horizontal="left" vertical="center"/>
    </xf>
    <xf numFmtId="49" fontId="17" fillId="0" borderId="16" xfId="2" applyNumberFormat="1" applyFont="1" applyBorder="1" applyAlignment="1">
      <alignment horizontal="left" vertical="center"/>
    </xf>
    <xf numFmtId="49" fontId="20" fillId="0" borderId="16" xfId="3" applyNumberFormat="1" applyFont="1" applyBorder="1" applyAlignment="1">
      <alignment horizontal="left" vertical="center"/>
    </xf>
    <xf numFmtId="43" fontId="20" fillId="0" borderId="16" xfId="2" applyFont="1" applyBorder="1" applyAlignment="1">
      <alignment vertical="center"/>
    </xf>
    <xf numFmtId="43" fontId="20" fillId="0" borderId="16" xfId="2" applyFont="1" applyBorder="1" applyAlignment="1">
      <alignment horizontal="center" vertical="center"/>
    </xf>
    <xf numFmtId="43" fontId="20" fillId="0" borderId="16" xfId="2" applyFont="1" applyBorder="1" applyAlignment="1">
      <alignment horizontal="left" vertical="center"/>
    </xf>
    <xf numFmtId="0" fontId="24" fillId="3" borderId="0" xfId="3" applyFont="1" applyFill="1" applyAlignment="1">
      <alignment horizontal="center" vertical="center" wrapText="1"/>
    </xf>
    <xf numFmtId="3" fontId="20" fillId="0" borderId="0" xfId="3" applyNumberFormat="1" applyFont="1" applyAlignment="1">
      <alignment horizontal="center" vertical="center" wrapText="1"/>
    </xf>
    <xf numFmtId="0" fontId="20" fillId="0" borderId="0" xfId="3" applyFont="1" applyAlignment="1">
      <alignment horizontal="left" vertical="center" wrapText="1"/>
    </xf>
    <xf numFmtId="179" fontId="20" fillId="0" borderId="0" xfId="3" applyNumberFormat="1" applyFont="1" applyAlignment="1">
      <alignment horizontal="center" vertical="center" wrapText="1"/>
    </xf>
    <xf numFmtId="182" fontId="20" fillId="0" borderId="0" xfId="3" applyNumberFormat="1" applyFont="1" applyAlignment="1">
      <alignment horizontal="center" vertical="center" wrapText="1"/>
    </xf>
    <xf numFmtId="180" fontId="20" fillId="0" borderId="0" xfId="3" applyNumberFormat="1" applyFont="1" applyAlignment="1">
      <alignment horizontal="center" vertical="center" wrapText="1"/>
    </xf>
    <xf numFmtId="0" fontId="20" fillId="0" borderId="0" xfId="3" applyFont="1" applyAlignment="1">
      <alignment horizontal="left" vertical="top"/>
    </xf>
    <xf numFmtId="0" fontId="20" fillId="0" borderId="0" xfId="3" applyFont="1">
      <alignment vertical="center"/>
    </xf>
    <xf numFmtId="49" fontId="27" fillId="0" borderId="17" xfId="2" applyNumberFormat="1" applyFont="1" applyBorder="1" applyAlignment="1">
      <alignment horizontal="left" vertical="center"/>
    </xf>
    <xf numFmtId="178" fontId="20" fillId="0" borderId="0" xfId="3" applyNumberFormat="1" applyFont="1" applyAlignment="1">
      <alignment horizontal="center" vertical="center" wrapText="1"/>
    </xf>
    <xf numFmtId="0" fontId="21" fillId="0" borderId="0" xfId="3" applyFont="1" applyAlignment="1">
      <alignment horizontal="justify" wrapText="1"/>
    </xf>
    <xf numFmtId="0" fontId="20" fillId="0" borderId="0" xfId="3" applyFont="1" applyAlignment="1">
      <alignment horizontal="justify" wrapText="1"/>
    </xf>
    <xf numFmtId="0" fontId="21" fillId="0" borderId="0" xfId="3" applyFont="1" applyAlignment="1">
      <alignment horizontal="center" vertical="center" wrapText="1"/>
    </xf>
    <xf numFmtId="186" fontId="21" fillId="0" borderId="0" xfId="3" applyNumberFormat="1" applyFont="1" applyAlignment="1">
      <alignment horizontal="center" vertical="center" wrapText="1"/>
    </xf>
    <xf numFmtId="0" fontId="20" fillId="0" borderId="0" xfId="3" applyFont="1" applyAlignment="1">
      <alignment horizontal="left" wrapText="1"/>
    </xf>
    <xf numFmtId="0" fontId="28" fillId="0" borderId="0" xfId="3" applyFont="1" applyAlignment="1">
      <alignment horizontal="left" vertical="center" wrapText="1"/>
    </xf>
    <xf numFmtId="0" fontId="28" fillId="0" borderId="0" xfId="3" applyFont="1" applyAlignment="1">
      <alignment horizontal="left" wrapText="1"/>
    </xf>
    <xf numFmtId="43" fontId="21" fillId="2" borderId="0" xfId="2" applyFont="1" applyFill="1" applyBorder="1" applyAlignment="1">
      <alignment vertical="center" wrapText="1"/>
    </xf>
    <xf numFmtId="0" fontId="20" fillId="0" borderId="0" xfId="3" applyFont="1" applyAlignment="1">
      <alignment horizontal="left" vertical="top" wrapText="1"/>
    </xf>
    <xf numFmtId="0" fontId="29" fillId="0" borderId="0" xfId="3" applyFont="1" applyAlignment="1">
      <alignment horizontal="left" vertical="center"/>
    </xf>
    <xf numFmtId="43" fontId="17" fillId="0" borderId="0" xfId="2" applyFont="1" applyBorder="1" applyAlignment="1">
      <alignment horizontal="left" vertical="top"/>
    </xf>
    <xf numFmtId="0" fontId="23" fillId="0" borderId="0" xfId="3" applyFont="1" applyAlignment="1">
      <alignment horizontal="center" vertical="center" wrapText="1"/>
    </xf>
    <xf numFmtId="43" fontId="24" fillId="3" borderId="0" xfId="2" applyFont="1" applyFill="1" applyBorder="1" applyAlignment="1">
      <alignment horizontal="center" vertical="center"/>
    </xf>
    <xf numFmtId="49" fontId="17" fillId="0" borderId="0" xfId="2" applyNumberFormat="1" applyFont="1" applyBorder="1" applyAlignment="1">
      <alignment horizontal="left" vertical="center"/>
    </xf>
    <xf numFmtId="43" fontId="17" fillId="0" borderId="18" xfId="2" applyFont="1" applyBorder="1" applyAlignment="1">
      <alignment vertical="top"/>
    </xf>
    <xf numFmtId="0" fontId="4" fillId="0" borderId="0" xfId="3" applyFont="1" applyAlignment="1">
      <alignment horizontal="center"/>
    </xf>
    <xf numFmtId="0" fontId="3" fillId="0" borderId="0" xfId="3" applyFont="1" applyAlignment="1">
      <alignment horizontal="left" vertical="top" wrapText="1"/>
    </xf>
    <xf numFmtId="0" fontId="9" fillId="0" borderId="0" xfId="3" applyFont="1" applyAlignment="1">
      <alignment horizontal="left" vertical="center"/>
    </xf>
    <xf numFmtId="0" fontId="3" fillId="0" borderId="0" xfId="3" applyFont="1" applyAlignment="1">
      <alignment vertical="top" wrapText="1"/>
    </xf>
    <xf numFmtId="0" fontId="2" fillId="0" borderId="0" xfId="3" applyFont="1" applyAlignment="1">
      <alignment horizontal="left" vertical="center" wrapText="1"/>
    </xf>
    <xf numFmtId="0" fontId="11" fillId="0" borderId="1" xfId="3" applyFont="1" applyBorder="1" applyAlignment="1">
      <alignment horizontal="left" vertical="center" wrapText="1"/>
    </xf>
    <xf numFmtId="43" fontId="2" fillId="0" borderId="2" xfId="2" applyFont="1" applyBorder="1" applyAlignment="1">
      <alignment horizontal="center" vertical="center"/>
    </xf>
    <xf numFmtId="43" fontId="2" fillId="0" borderId="3" xfId="2" applyFont="1" applyBorder="1" applyAlignment="1">
      <alignment horizontal="center" vertical="center"/>
    </xf>
    <xf numFmtId="178" fontId="2" fillId="0" borderId="2" xfId="3" applyNumberFormat="1" applyFont="1" applyBorder="1" applyAlignment="1">
      <alignment horizontal="center" vertical="center" wrapText="1"/>
    </xf>
    <xf numFmtId="178" fontId="2" fillId="0" borderId="3" xfId="3" applyNumberFormat="1" applyFont="1" applyBorder="1" applyAlignment="1">
      <alignment horizontal="center" vertical="center" wrapText="1"/>
    </xf>
    <xf numFmtId="0" fontId="12" fillId="0" borderId="0" xfId="3" applyFont="1" applyAlignment="1">
      <alignment horizontal="left" vertical="center" wrapText="1"/>
    </xf>
    <xf numFmtId="0" fontId="11" fillId="0" borderId="0" xfId="3" applyFont="1" applyAlignment="1">
      <alignment horizontal="left" vertical="center" wrapText="1"/>
    </xf>
    <xf numFmtId="3" fontId="2" fillId="0" borderId="12" xfId="3" applyNumberFormat="1" applyFont="1" applyBorder="1" applyAlignment="1">
      <alignment horizontal="center" vertical="center" wrapText="1"/>
    </xf>
    <xf numFmtId="3" fontId="2" fillId="0" borderId="7" xfId="3" applyNumberFormat="1" applyFont="1" applyBorder="1" applyAlignment="1">
      <alignment horizontal="center" vertical="center" wrapText="1"/>
    </xf>
    <xf numFmtId="0" fontId="2" fillId="0" borderId="13" xfId="3" applyFont="1" applyBorder="1" applyAlignment="1">
      <alignment horizontal="center" vertical="center" wrapText="1"/>
    </xf>
    <xf numFmtId="0" fontId="2" fillId="0" borderId="7" xfId="3" applyFont="1" applyBorder="1" applyAlignment="1">
      <alignment horizontal="center" vertical="center" wrapText="1"/>
    </xf>
    <xf numFmtId="180" fontId="11" fillId="0" borderId="13" xfId="3" applyNumberFormat="1" applyFont="1" applyBorder="1" applyAlignment="1">
      <alignment horizontal="center" vertical="center" wrapText="1"/>
    </xf>
    <xf numFmtId="180" fontId="11" fillId="0" borderId="7" xfId="3" applyNumberFormat="1" applyFont="1" applyBorder="1" applyAlignment="1">
      <alignment horizontal="center" vertical="center" wrapText="1"/>
    </xf>
    <xf numFmtId="43" fontId="2" fillId="0" borderId="0" xfId="2" applyFont="1" applyBorder="1" applyAlignment="1">
      <alignment horizontal="left" vertical="center"/>
    </xf>
    <xf numFmtId="0" fontId="2" fillId="0" borderId="9" xfId="3" applyFont="1" applyBorder="1" applyAlignment="1">
      <alignment horizontal="center" vertical="center" wrapText="1"/>
    </xf>
    <xf numFmtId="0" fontId="2" fillId="0" borderId="10" xfId="3" applyFont="1" applyBorder="1" applyAlignment="1">
      <alignment horizontal="center" vertical="center" wrapText="1"/>
    </xf>
    <xf numFmtId="0" fontId="2" fillId="0" borderId="11" xfId="3" applyFont="1" applyBorder="1" applyAlignment="1">
      <alignment horizontal="center" vertical="center" wrapText="1"/>
    </xf>
    <xf numFmtId="0" fontId="2" fillId="0" borderId="6" xfId="3" applyFont="1" applyBorder="1" applyAlignment="1">
      <alignment horizontal="center" vertical="center" wrapText="1"/>
    </xf>
    <xf numFmtId="0" fontId="2" fillId="0" borderId="1" xfId="3" applyFont="1" applyBorder="1" applyAlignment="1">
      <alignment horizontal="center" vertical="center" wrapText="1"/>
    </xf>
    <xf numFmtId="0" fontId="2" fillId="0" borderId="14" xfId="3" applyFont="1" applyBorder="1" applyAlignment="1">
      <alignment horizontal="center" vertical="center" wrapText="1"/>
    </xf>
    <xf numFmtId="0" fontId="12" fillId="0" borderId="0" xfId="3" applyFont="1" applyAlignment="1">
      <alignment horizontal="justify" vertical="center" wrapText="1"/>
    </xf>
    <xf numFmtId="0" fontId="3" fillId="0" borderId="0" xfId="3" applyFont="1" applyAlignment="1">
      <alignment horizontal="left" vertical="center" wrapText="1"/>
    </xf>
    <xf numFmtId="0" fontId="3" fillId="0" borderId="0" xfId="3" applyFont="1" applyAlignment="1">
      <alignment horizontal="left" vertical="center"/>
    </xf>
    <xf numFmtId="0" fontId="3" fillId="0" borderId="0" xfId="3" applyFont="1" applyAlignment="1">
      <alignment horizontal="justify" vertical="center" wrapText="1"/>
    </xf>
    <xf numFmtId="0" fontId="12" fillId="0" borderId="0" xfId="3" applyFont="1" applyAlignment="1">
      <alignment horizontal="left" vertical="center"/>
    </xf>
    <xf numFmtId="49" fontId="20" fillId="0" borderId="0" xfId="2" applyNumberFormat="1" applyFont="1" applyBorder="1" applyAlignment="1">
      <alignment horizontal="left" vertical="center"/>
    </xf>
    <xf numFmtId="49" fontId="20" fillId="0" borderId="16" xfId="2" applyNumberFormat="1" applyFont="1" applyBorder="1" applyAlignment="1">
      <alignment horizontal="left" vertical="center"/>
    </xf>
  </cellXfs>
  <cellStyles count="5">
    <cellStyle name="常规" xfId="0" builtinId="0"/>
    <cellStyle name="常规 2" xfId="3" xr:uid="{00000000-0005-0000-0000-000033000000}"/>
    <cellStyle name="常规 6" xfId="1" xr:uid="{00000000-0005-0000-0000-00000D000000}"/>
    <cellStyle name="常规 7" xfId="4" xr:uid="{00000000-0005-0000-0000-000034000000}"/>
    <cellStyle name="千位分隔 2" xfId="2" xr:uid="{00000000-0005-0000-0000-000032000000}"/>
  </cellStyles>
  <dxfs count="0"/>
  <tableStyles count="0" defaultTableStyle="TableStyleMedium2" defaultPivotStyle="PivotStyleLight16"/>
  <colors>
    <mruColors>
      <color rgb="FFE9E9E3"/>
      <color rgb="FFCCECFF"/>
      <color rgb="FF00ADFA"/>
      <color rgb="FF00ADEA"/>
      <color rgb="FF00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18963</xdr:colOff>
      <xdr:row>0</xdr:row>
      <xdr:rowOff>240064</xdr:rowOff>
    </xdr:from>
    <xdr:to>
      <xdr:col>3</xdr:col>
      <xdr:colOff>1115914</xdr:colOff>
      <xdr:row>0</xdr:row>
      <xdr:rowOff>755536</xdr:rowOff>
    </xdr:to>
    <xdr:pic>
      <xdr:nvPicPr>
        <xdr:cNvPr id="3" name="logo">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l="7039" t="35761" b="40182"/>
        <a:stretch>
          <a:fillRect/>
        </a:stretch>
      </xdr:blipFill>
      <xdr:spPr>
        <a:xfrm>
          <a:off x="18963" y="240064"/>
          <a:ext cx="3230551" cy="515472"/>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www.alustars.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S35"/>
  <sheetViews>
    <sheetView tabSelected="1" view="pageBreakPreview" topLeftCell="A25" zoomScale="115" zoomScaleNormal="115" zoomScaleSheetLayoutView="115" workbookViewId="0">
      <selection activeCell="A28" sqref="A28:H28"/>
    </sheetView>
  </sheetViews>
  <sheetFormatPr defaultColWidth="9" defaultRowHeight="15.6" x14ac:dyDescent="0.25"/>
  <cols>
    <col min="1" max="1" width="6.33203125" style="95" customWidth="1"/>
    <col min="2" max="2" width="16.33203125" style="57" customWidth="1"/>
    <col min="3" max="3" width="8.44140625" style="57" customWidth="1"/>
    <col min="4" max="4" width="25.77734375" style="57" customWidth="1"/>
    <col min="5" max="5" width="10.109375" style="57" customWidth="1"/>
    <col min="6" max="6" width="10.88671875" style="57" customWidth="1"/>
    <col min="7" max="7" width="13" style="58" customWidth="1"/>
    <col min="8" max="8" width="12.88671875" style="59" customWidth="1"/>
    <col min="9" max="9" width="7" style="57" customWidth="1"/>
    <col min="10" max="10" width="10.88671875" style="57" customWidth="1"/>
    <col min="11" max="11" width="1" style="57" customWidth="1"/>
    <col min="12" max="12" width="11.6640625" style="57" customWidth="1"/>
    <col min="13" max="13" width="1.6640625" style="57" customWidth="1"/>
    <col min="14" max="14" width="10.88671875" style="60" customWidth="1"/>
    <col min="15" max="15" width="2.88671875" style="60" customWidth="1"/>
    <col min="16" max="16" width="15" style="57" customWidth="1"/>
    <col min="17" max="17" width="11.77734375" style="57" customWidth="1"/>
    <col min="18" max="18" width="12.77734375" style="57" customWidth="1"/>
    <col min="19" max="16384" width="9" style="57"/>
  </cols>
  <sheetData>
    <row r="1" spans="1:19" s="55" customFormat="1" ht="66" customHeight="1" x14ac:dyDescent="0.4">
      <c r="A1" s="101"/>
      <c r="B1" s="101"/>
      <c r="C1" s="101"/>
      <c r="D1" s="101"/>
      <c r="E1" s="101"/>
      <c r="F1" s="129" t="s">
        <v>67</v>
      </c>
      <c r="G1" s="129"/>
      <c r="H1" s="129"/>
      <c r="N1" s="56"/>
      <c r="O1" s="56"/>
    </row>
    <row r="2" spans="1:19" ht="21.9" customHeight="1" x14ac:dyDescent="0.25">
      <c r="A2" s="102" t="s">
        <v>0</v>
      </c>
      <c r="B2" s="94"/>
      <c r="C2" s="94"/>
      <c r="D2" s="94"/>
      <c r="E2" s="94"/>
      <c r="F2" s="82" t="s">
        <v>80</v>
      </c>
      <c r="G2" s="133" t="s">
        <v>113</v>
      </c>
      <c r="H2" s="133"/>
    </row>
    <row r="3" spans="1:19" s="61" customFormat="1" ht="21.9" customHeight="1" x14ac:dyDescent="0.25">
      <c r="A3" s="103" t="s">
        <v>72</v>
      </c>
      <c r="B3" s="104"/>
      <c r="C3" s="78"/>
      <c r="D3" s="77"/>
      <c r="E3" s="77"/>
      <c r="F3" s="82" t="s">
        <v>69</v>
      </c>
      <c r="G3" s="165" t="s">
        <v>86</v>
      </c>
      <c r="H3" s="165"/>
      <c r="N3" s="62"/>
      <c r="O3" s="62"/>
    </row>
    <row r="4" spans="1:19" s="61" customFormat="1" ht="21.9" customHeight="1" x14ac:dyDescent="0.25">
      <c r="A4" s="100" t="s">
        <v>73</v>
      </c>
      <c r="B4" s="104"/>
      <c r="C4" s="78"/>
      <c r="D4" s="77"/>
      <c r="E4" s="77"/>
      <c r="F4" s="82" t="s">
        <v>70</v>
      </c>
      <c r="G4" s="165" t="s">
        <v>87</v>
      </c>
      <c r="H4" s="165"/>
      <c r="J4" s="64"/>
      <c r="K4" s="65"/>
      <c r="L4" s="64"/>
      <c r="M4" s="66"/>
      <c r="N4" s="67"/>
      <c r="O4" s="67"/>
      <c r="P4" s="67"/>
      <c r="Q4" s="67"/>
    </row>
    <row r="5" spans="1:19" s="61" customFormat="1" ht="21.75" customHeight="1" thickBot="1" x14ac:dyDescent="0.3">
      <c r="A5" s="105"/>
      <c r="B5" s="106"/>
      <c r="C5" s="107"/>
      <c r="D5" s="108"/>
      <c r="E5" s="108"/>
      <c r="F5" s="109" t="s">
        <v>71</v>
      </c>
      <c r="G5" s="166" t="s">
        <v>88</v>
      </c>
      <c r="H5" s="166"/>
      <c r="J5" s="64"/>
      <c r="K5" s="65"/>
      <c r="L5" s="64"/>
      <c r="M5" s="66"/>
      <c r="N5" s="67"/>
      <c r="O5" s="67"/>
      <c r="P5" s="67"/>
      <c r="Q5" s="67"/>
    </row>
    <row r="6" spans="1:19" s="66" customFormat="1" ht="20.100000000000001" customHeight="1" x14ac:dyDescent="0.25">
      <c r="A6" s="96" t="s">
        <v>74</v>
      </c>
      <c r="B6" s="134" t="s">
        <v>75</v>
      </c>
      <c r="C6" s="134"/>
      <c r="D6" s="134"/>
      <c r="E6" s="68"/>
      <c r="F6" s="98"/>
      <c r="G6" s="99"/>
      <c r="H6" s="99"/>
      <c r="I6" s="69"/>
      <c r="J6" s="70"/>
      <c r="K6" s="70"/>
      <c r="L6" s="70"/>
      <c r="M6" s="70"/>
      <c r="N6" s="70"/>
      <c r="O6" s="70"/>
      <c r="P6" s="71"/>
      <c r="Q6" s="70"/>
      <c r="R6" s="70"/>
    </row>
    <row r="7" spans="1:19" s="66" customFormat="1" ht="20.100000000000001" customHeight="1" x14ac:dyDescent="0.25">
      <c r="A7" s="76" t="s">
        <v>76</v>
      </c>
      <c r="B7" s="130" t="s">
        <v>78</v>
      </c>
      <c r="C7" s="130"/>
      <c r="D7" s="130"/>
      <c r="E7" s="97"/>
      <c r="F7" s="128"/>
      <c r="G7" s="128"/>
      <c r="H7" s="128"/>
      <c r="I7" s="67"/>
      <c r="J7" s="73"/>
      <c r="K7" s="67"/>
      <c r="L7" s="73"/>
      <c r="M7" s="67"/>
      <c r="N7" s="73"/>
      <c r="O7" s="67"/>
      <c r="P7" s="74"/>
      <c r="Q7" s="75"/>
      <c r="R7" s="73"/>
    </row>
    <row r="8" spans="1:19" s="66" customFormat="1" ht="20.100000000000001" customHeight="1" x14ac:dyDescent="0.25">
      <c r="A8" s="76" t="s">
        <v>77</v>
      </c>
      <c r="B8" s="130" t="s">
        <v>79</v>
      </c>
      <c r="C8" s="130"/>
      <c r="D8" s="130"/>
      <c r="E8" s="97"/>
      <c r="F8" s="128"/>
      <c r="G8" s="128"/>
      <c r="H8" s="128"/>
      <c r="I8" s="64"/>
      <c r="J8" s="64"/>
      <c r="K8" s="64"/>
      <c r="L8" s="73"/>
      <c r="M8" s="67"/>
      <c r="N8" s="73"/>
      <c r="O8" s="67"/>
      <c r="P8" s="74"/>
      <c r="Q8" s="75"/>
      <c r="R8" s="73"/>
    </row>
    <row r="9" spans="1:19" s="78" customFormat="1" ht="23.25" customHeight="1" x14ac:dyDescent="0.25">
      <c r="A9" s="131" t="s">
        <v>68</v>
      </c>
      <c r="B9" s="131"/>
      <c r="C9" s="131"/>
      <c r="D9" s="131"/>
      <c r="E9" s="131"/>
      <c r="F9" s="131"/>
      <c r="G9" s="131"/>
      <c r="H9" s="131"/>
      <c r="I9" s="77"/>
      <c r="J9" s="77"/>
      <c r="K9" s="77"/>
      <c r="L9" s="127"/>
      <c r="M9" s="127"/>
      <c r="N9" s="127"/>
      <c r="O9" s="127"/>
      <c r="P9" s="127"/>
      <c r="Q9" s="127"/>
      <c r="R9" s="127"/>
      <c r="S9" s="127"/>
    </row>
    <row r="10" spans="1:19" s="79" customFormat="1" ht="26.25" customHeight="1" x14ac:dyDescent="0.25">
      <c r="A10" s="110" t="s">
        <v>3</v>
      </c>
      <c r="B10" s="132" t="s">
        <v>4</v>
      </c>
      <c r="C10" s="132"/>
      <c r="D10" s="110" t="s">
        <v>81</v>
      </c>
      <c r="E10" s="110" t="s">
        <v>6</v>
      </c>
      <c r="F10" s="110" t="s">
        <v>89</v>
      </c>
      <c r="G10" s="110" t="s">
        <v>82</v>
      </c>
      <c r="H10" s="110" t="s">
        <v>83</v>
      </c>
      <c r="L10" s="127"/>
      <c r="M10" s="127"/>
      <c r="N10" s="127"/>
      <c r="O10" s="127"/>
      <c r="P10" s="127"/>
      <c r="Q10" s="127"/>
      <c r="R10" s="127"/>
      <c r="S10" s="127"/>
    </row>
    <row r="11" spans="1:19" s="78" customFormat="1" ht="20.100000000000001" customHeight="1" x14ac:dyDescent="0.25">
      <c r="A11" s="80">
        <v>1</v>
      </c>
      <c r="B11" s="119" t="s">
        <v>112</v>
      </c>
      <c r="C11" s="119"/>
      <c r="D11" s="112" t="s">
        <v>111</v>
      </c>
      <c r="E11" s="113">
        <v>250</v>
      </c>
      <c r="F11" s="113" t="s">
        <v>90</v>
      </c>
      <c r="G11" s="114">
        <v>14.3</v>
      </c>
      <c r="H11" s="115">
        <v>3575</v>
      </c>
      <c r="K11" s="81"/>
      <c r="N11" s="77"/>
      <c r="O11" s="77"/>
      <c r="P11" s="82"/>
      <c r="Q11" s="82"/>
    </row>
    <row r="12" spans="1:19" s="77" customFormat="1" ht="16.5" customHeight="1" x14ac:dyDescent="0.25">
      <c r="A12" s="80" t="s">
        <v>68</v>
      </c>
      <c r="B12" s="80"/>
      <c r="C12" s="80"/>
      <c r="D12" s="80"/>
      <c r="E12" s="80"/>
      <c r="F12" s="111" t="s">
        <v>14</v>
      </c>
      <c r="G12" s="122" t="s">
        <v>91</v>
      </c>
      <c r="H12" s="123">
        <f>SUM(H11:H11)</f>
        <v>3575</v>
      </c>
      <c r="I12" s="83"/>
    </row>
    <row r="13" spans="1:19" s="77" customFormat="1" ht="13.5" customHeight="1" x14ac:dyDescent="0.25">
      <c r="A13" s="80"/>
      <c r="B13" s="80"/>
      <c r="C13" s="80"/>
      <c r="D13" s="80"/>
      <c r="E13" s="80"/>
      <c r="F13" s="111"/>
      <c r="G13" s="122"/>
      <c r="H13" s="123"/>
    </row>
    <row r="14" spans="1:19" s="77" customFormat="1" ht="30" customHeight="1" x14ac:dyDescent="0.3">
      <c r="A14" s="126" t="s">
        <v>84</v>
      </c>
      <c r="B14" s="126"/>
      <c r="C14" s="126"/>
      <c r="D14" s="126"/>
      <c r="E14" s="126"/>
      <c r="F14" s="126"/>
      <c r="G14" s="126"/>
      <c r="H14" s="126"/>
      <c r="K14" s="84"/>
    </row>
    <row r="15" spans="1:19" s="77" customFormat="1" ht="20.100000000000001" customHeight="1" x14ac:dyDescent="0.3">
      <c r="A15" s="124" t="s">
        <v>85</v>
      </c>
      <c r="B15" s="124"/>
      <c r="C15" s="124" t="s">
        <v>92</v>
      </c>
      <c r="D15" s="124"/>
      <c r="E15" s="124"/>
      <c r="F15" s="124"/>
      <c r="G15" s="124"/>
      <c r="H15" s="85"/>
      <c r="K15" s="84"/>
    </row>
    <row r="16" spans="1:19" s="77" customFormat="1" ht="20.100000000000001" customHeight="1" x14ac:dyDescent="0.3">
      <c r="A16" s="124" t="s">
        <v>93</v>
      </c>
      <c r="B16" s="124"/>
      <c r="C16" s="124" t="s">
        <v>94</v>
      </c>
      <c r="D16" s="124"/>
      <c r="E16" s="124"/>
      <c r="F16" s="124"/>
      <c r="G16" s="124"/>
      <c r="H16" s="85"/>
      <c r="K16" s="84"/>
    </row>
    <row r="17" spans="1:19" s="77" customFormat="1" ht="20.100000000000001" customHeight="1" x14ac:dyDescent="0.3">
      <c r="A17" s="124" t="s">
        <v>95</v>
      </c>
      <c r="B17" s="124"/>
      <c r="C17" s="124" t="s">
        <v>98</v>
      </c>
      <c r="D17" s="124"/>
      <c r="E17" s="124"/>
      <c r="F17" s="124"/>
      <c r="G17" s="124"/>
      <c r="H17" s="85"/>
      <c r="K17" s="84"/>
    </row>
    <row r="18" spans="1:19" s="85" customFormat="1" ht="20.100000000000001" customHeight="1" x14ac:dyDescent="0.3">
      <c r="A18" s="124" t="s">
        <v>97</v>
      </c>
      <c r="B18" s="124"/>
      <c r="C18" s="124" t="s">
        <v>96</v>
      </c>
      <c r="D18" s="124"/>
      <c r="E18" s="124"/>
      <c r="F18" s="124"/>
      <c r="G18" s="124"/>
    </row>
    <row r="19" spans="1:19" s="85" customFormat="1" ht="20.100000000000001" customHeight="1" x14ac:dyDescent="0.3">
      <c r="A19" s="124" t="s">
        <v>99</v>
      </c>
      <c r="B19" s="124"/>
      <c r="C19" s="124" t="s">
        <v>103</v>
      </c>
      <c r="D19" s="124"/>
      <c r="E19" s="124"/>
      <c r="F19" s="124"/>
      <c r="G19" s="124"/>
    </row>
    <row r="20" spans="1:19" s="85" customFormat="1" ht="20.100000000000001" customHeight="1" x14ac:dyDescent="0.3">
      <c r="A20" s="124" t="s">
        <v>100</v>
      </c>
      <c r="B20" s="124"/>
      <c r="C20" s="124" t="s">
        <v>104</v>
      </c>
      <c r="D20" s="124"/>
      <c r="E20" s="124"/>
      <c r="F20" s="124"/>
      <c r="G20" s="124"/>
    </row>
    <row r="21" spans="1:19" s="85" customFormat="1" ht="20.100000000000001" customHeight="1" x14ac:dyDescent="0.3">
      <c r="A21" s="124" t="s">
        <v>101</v>
      </c>
      <c r="B21" s="124"/>
      <c r="C21" s="124" t="s">
        <v>105</v>
      </c>
      <c r="D21" s="124"/>
      <c r="E21" s="124"/>
      <c r="F21" s="124"/>
      <c r="G21" s="124"/>
    </row>
    <row r="22" spans="1:19" s="85" customFormat="1" ht="20.100000000000001" customHeight="1" x14ac:dyDescent="0.3">
      <c r="A22" s="124" t="s">
        <v>102</v>
      </c>
      <c r="B22" s="124"/>
      <c r="C22" s="124" t="s">
        <v>106</v>
      </c>
      <c r="D22" s="124"/>
      <c r="E22" s="124"/>
      <c r="F22" s="124"/>
      <c r="G22" s="124"/>
    </row>
    <row r="23" spans="1:19" s="77" customFormat="1" ht="20.100000000000001" customHeight="1" x14ac:dyDescent="0.25">
      <c r="A23" s="72"/>
      <c r="B23" s="72"/>
      <c r="C23" s="72"/>
      <c r="D23" s="72"/>
      <c r="E23" s="72"/>
      <c r="F23" s="86"/>
      <c r="G23" s="86"/>
      <c r="H23" s="86"/>
      <c r="K23" s="84"/>
    </row>
    <row r="24" spans="1:19" s="77" customFormat="1" ht="31.5" customHeight="1" x14ac:dyDescent="0.25">
      <c r="A24" s="125" t="s">
        <v>107</v>
      </c>
      <c r="B24" s="125"/>
      <c r="C24" s="125"/>
      <c r="D24" s="125"/>
      <c r="E24" s="125"/>
      <c r="F24" s="125"/>
      <c r="G24" s="125"/>
      <c r="H24" s="125"/>
      <c r="K24" s="84"/>
    </row>
    <row r="25" spans="1:19" s="70" customFormat="1" ht="20.100000000000001" customHeight="1" x14ac:dyDescent="0.25">
      <c r="A25" s="116" t="s">
        <v>109</v>
      </c>
      <c r="B25" s="116"/>
      <c r="C25" s="116"/>
      <c r="D25" s="116"/>
      <c r="E25" s="116"/>
      <c r="F25" s="116"/>
      <c r="G25" s="116"/>
      <c r="H25" s="116"/>
      <c r="K25" s="87"/>
    </row>
    <row r="26" spans="1:19" s="77" customFormat="1" ht="27" customHeight="1" x14ac:dyDescent="0.25">
      <c r="A26" s="72"/>
      <c r="B26" s="72"/>
      <c r="C26" s="72"/>
      <c r="D26" s="72"/>
      <c r="E26" s="72"/>
      <c r="F26" s="86"/>
      <c r="G26" s="86"/>
      <c r="H26" s="86"/>
      <c r="K26" s="84"/>
      <c r="L26" s="88"/>
      <c r="M26" s="88"/>
      <c r="N26" s="89"/>
      <c r="O26" s="89"/>
      <c r="P26" s="88"/>
      <c r="Q26" s="88"/>
      <c r="R26" s="88"/>
      <c r="S26" s="88"/>
    </row>
    <row r="27" spans="1:19" s="88" customFormat="1" ht="19.5" customHeight="1" x14ac:dyDescent="0.3">
      <c r="A27" s="120" t="s">
        <v>108</v>
      </c>
      <c r="B27" s="120"/>
      <c r="C27" s="120"/>
      <c r="D27" s="120"/>
      <c r="E27" s="120"/>
      <c r="F27" s="120"/>
      <c r="G27" s="120"/>
      <c r="H27" s="120"/>
      <c r="N27" s="89"/>
      <c r="O27" s="89"/>
    </row>
    <row r="28" spans="1:19" s="88" customFormat="1" ht="53.25" customHeight="1" x14ac:dyDescent="0.3">
      <c r="A28" s="121" t="s">
        <v>110</v>
      </c>
      <c r="B28" s="121"/>
      <c r="C28" s="121"/>
      <c r="D28" s="121"/>
      <c r="E28" s="121"/>
      <c r="F28" s="121"/>
      <c r="G28" s="121"/>
      <c r="H28" s="121"/>
      <c r="N28" s="89"/>
      <c r="O28" s="89"/>
    </row>
    <row r="29" spans="1:19" s="88" customFormat="1" ht="24" customHeight="1" thickBot="1" x14ac:dyDescent="0.35">
      <c r="A29" s="90"/>
      <c r="B29" s="90"/>
      <c r="C29" s="90"/>
      <c r="D29" s="90"/>
      <c r="E29" s="90"/>
      <c r="F29" s="90"/>
      <c r="G29" s="90"/>
      <c r="H29" s="90"/>
      <c r="N29" s="89"/>
      <c r="O29" s="89"/>
    </row>
    <row r="30" spans="1:19" s="88" customFormat="1" ht="19.5" customHeight="1" x14ac:dyDescent="0.25">
      <c r="A30" s="118" t="s">
        <v>18</v>
      </c>
      <c r="B30" s="118"/>
      <c r="C30" s="118"/>
      <c r="D30" s="118"/>
      <c r="E30" s="118" t="s">
        <v>19</v>
      </c>
      <c r="F30" s="118"/>
      <c r="G30" s="118"/>
      <c r="H30" s="118"/>
      <c r="L30" s="57"/>
      <c r="M30" s="57"/>
      <c r="N30" s="60"/>
      <c r="O30" s="60"/>
      <c r="P30" s="57"/>
      <c r="Q30" s="57"/>
      <c r="R30" s="57"/>
      <c r="S30" s="57"/>
    </row>
    <row r="31" spans="1:19" x14ac:dyDescent="0.25">
      <c r="A31" s="92" t="s">
        <v>20</v>
      </c>
      <c r="C31" s="93"/>
      <c r="D31" s="94"/>
      <c r="E31" s="117" t="s">
        <v>21</v>
      </c>
      <c r="F31" s="117"/>
      <c r="G31" s="117"/>
      <c r="H31" s="117"/>
    </row>
    <row r="32" spans="1:19" x14ac:dyDescent="0.25">
      <c r="A32" s="117" t="s">
        <v>22</v>
      </c>
      <c r="B32" s="117"/>
      <c r="C32" s="117"/>
      <c r="D32" s="117"/>
      <c r="E32" s="117" t="s">
        <v>23</v>
      </c>
      <c r="F32" s="117"/>
      <c r="G32" s="117"/>
      <c r="H32" s="117"/>
    </row>
    <row r="33" spans="1:8" x14ac:dyDescent="0.25">
      <c r="A33" s="117" t="s">
        <v>24</v>
      </c>
      <c r="B33" s="117"/>
      <c r="C33" s="117"/>
      <c r="D33" s="117"/>
      <c r="E33" s="117" t="s">
        <v>25</v>
      </c>
      <c r="F33" s="117"/>
      <c r="G33" s="117"/>
      <c r="H33" s="117"/>
    </row>
    <row r="34" spans="1:8" x14ac:dyDescent="0.3">
      <c r="A34" s="55"/>
      <c r="F34" s="55"/>
      <c r="H34" s="91"/>
    </row>
    <row r="35" spans="1:8" x14ac:dyDescent="0.25">
      <c r="A35" s="63"/>
    </row>
  </sheetData>
  <mergeCells count="43">
    <mergeCell ref="C22:G22"/>
    <mergeCell ref="A19:B19"/>
    <mergeCell ref="C19:G19"/>
    <mergeCell ref="A20:B20"/>
    <mergeCell ref="C20:G20"/>
    <mergeCell ref="A21:B21"/>
    <mergeCell ref="C21:G21"/>
    <mergeCell ref="L9:S10"/>
    <mergeCell ref="F7:H8"/>
    <mergeCell ref="F1:H1"/>
    <mergeCell ref="B7:D7"/>
    <mergeCell ref="B8:D8"/>
    <mergeCell ref="A9:H9"/>
    <mergeCell ref="B10:C10"/>
    <mergeCell ref="G2:H2"/>
    <mergeCell ref="G3:H3"/>
    <mergeCell ref="G4:H4"/>
    <mergeCell ref="G5:H5"/>
    <mergeCell ref="B6:D6"/>
    <mergeCell ref="B11:C11"/>
    <mergeCell ref="A27:H27"/>
    <mergeCell ref="A28:H28"/>
    <mergeCell ref="G12:G13"/>
    <mergeCell ref="H12:H13"/>
    <mergeCell ref="A15:B15"/>
    <mergeCell ref="A16:B16"/>
    <mergeCell ref="A17:B17"/>
    <mergeCell ref="A18:B18"/>
    <mergeCell ref="A24:H24"/>
    <mergeCell ref="A14:H14"/>
    <mergeCell ref="C15:G15"/>
    <mergeCell ref="C16:G16"/>
    <mergeCell ref="C17:G17"/>
    <mergeCell ref="C18:G18"/>
    <mergeCell ref="A22:B22"/>
    <mergeCell ref="A25:H25"/>
    <mergeCell ref="E33:H33"/>
    <mergeCell ref="A32:D32"/>
    <mergeCell ref="A33:D33"/>
    <mergeCell ref="A30:D30"/>
    <mergeCell ref="E30:H30"/>
    <mergeCell ref="E31:H31"/>
    <mergeCell ref="E32:H32"/>
  </mergeCells>
  <phoneticPr fontId="15" type="noConversion"/>
  <hyperlinks>
    <hyperlink ref="A4" r:id="rId1" display="www.alustars.com" xr:uid="{00000000-0004-0000-0000-000000000000}"/>
  </hyperlinks>
  <printOptions horizontalCentered="1"/>
  <pageMargins left="0.59055118110236227" right="0.59055118110236227" top="0.35433070866141736" bottom="0.31496062992125984" header="0.35433070866141736" footer="0.31496062992125984"/>
  <pageSetup paperSize="9" scale="88" orientation="portrait" r:id="rId2"/>
  <headerFooter scaleWithDoc="0" alignWithMargins="0"/>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54"/>
  <sheetViews>
    <sheetView view="pageBreakPreview" topLeftCell="A11" zoomScaleNormal="115" workbookViewId="0">
      <selection activeCell="A27" sqref="A27:G27"/>
    </sheetView>
  </sheetViews>
  <sheetFormatPr defaultColWidth="9" defaultRowHeight="15.6" x14ac:dyDescent="0.25"/>
  <cols>
    <col min="1" max="1" width="12.21875" style="7" customWidth="1"/>
    <col min="2" max="2" width="7" style="8" customWidth="1"/>
    <col min="3" max="3" width="12.6640625" style="8" customWidth="1"/>
    <col min="4" max="4" width="21.88671875" style="8" customWidth="1"/>
    <col min="5" max="5" width="10.88671875" style="8" customWidth="1"/>
    <col min="6" max="6" width="9.6640625" style="9" customWidth="1"/>
    <col min="7" max="7" width="14.109375" style="10" customWidth="1"/>
    <col min="8" max="8" width="15.88671875" style="8" customWidth="1"/>
    <col min="9" max="9" width="13.44140625" style="8" customWidth="1"/>
    <col min="10" max="10" width="11.33203125" style="8" customWidth="1"/>
    <col min="11" max="11" width="9" style="8"/>
    <col min="12" max="12" width="9.33203125" style="8" customWidth="1"/>
    <col min="13" max="13" width="9" style="11"/>
    <col min="14" max="14" width="11.33203125" style="11" customWidth="1"/>
    <col min="15" max="15" width="39.88671875" style="8" customWidth="1"/>
    <col min="16" max="16384" width="9" style="8"/>
  </cols>
  <sheetData>
    <row r="1" spans="1:15" s="1" customFormat="1" ht="17.25" customHeight="1" x14ac:dyDescent="0.35">
      <c r="A1" s="135" t="s">
        <v>26</v>
      </c>
      <c r="B1" s="135"/>
      <c r="C1" s="135"/>
      <c r="D1" s="135"/>
      <c r="E1" s="135"/>
      <c r="F1" s="135"/>
      <c r="G1" s="135"/>
      <c r="M1" s="45"/>
      <c r="N1" s="45"/>
    </row>
    <row r="2" spans="1:15" ht="13.5" customHeight="1" x14ac:dyDescent="0.3">
      <c r="F2" s="12" t="s">
        <v>27</v>
      </c>
      <c r="G2" s="13" t="s">
        <v>1</v>
      </c>
      <c r="H2" s="8" t="s">
        <v>1</v>
      </c>
    </row>
    <row r="3" spans="1:15" ht="15" customHeight="1" x14ac:dyDescent="0.3">
      <c r="F3" s="12" t="s">
        <v>28</v>
      </c>
      <c r="G3" s="13" t="s">
        <v>29</v>
      </c>
    </row>
    <row r="4" spans="1:15" x14ac:dyDescent="0.25">
      <c r="A4" s="14" t="s">
        <v>30</v>
      </c>
      <c r="B4" s="15" t="s">
        <v>31</v>
      </c>
      <c r="C4" s="15"/>
      <c r="D4" s="15"/>
      <c r="F4" s="15"/>
      <c r="G4" s="16"/>
      <c r="H4" s="9"/>
    </row>
    <row r="5" spans="1:15" s="2" customFormat="1" ht="33" customHeight="1" x14ac:dyDescent="0.25">
      <c r="A5" s="17"/>
      <c r="B5" s="136" t="s">
        <v>32</v>
      </c>
      <c r="C5" s="136"/>
      <c r="D5" s="136"/>
      <c r="E5" s="136"/>
      <c r="F5" s="136"/>
      <c r="G5" s="136"/>
      <c r="H5" s="18"/>
      <c r="M5" s="46"/>
      <c r="N5" s="46"/>
    </row>
    <row r="6" spans="1:15" s="2" customFormat="1" ht="5.25" customHeight="1" x14ac:dyDescent="0.25">
      <c r="A6" s="17"/>
      <c r="B6" s="19"/>
      <c r="C6" s="19"/>
      <c r="D6" s="19"/>
      <c r="E6" s="19"/>
      <c r="F6" s="19"/>
      <c r="G6" s="19"/>
      <c r="M6" s="46"/>
      <c r="N6" s="46"/>
    </row>
    <row r="7" spans="1:15" s="2" customFormat="1" x14ac:dyDescent="0.25">
      <c r="A7" s="14" t="s">
        <v>33</v>
      </c>
      <c r="B7" s="137" t="s">
        <v>2</v>
      </c>
      <c r="C7" s="137"/>
      <c r="D7" s="137"/>
      <c r="E7" s="137"/>
      <c r="F7" s="137"/>
      <c r="G7" s="20"/>
      <c r="M7" s="46"/>
      <c r="N7" s="46"/>
    </row>
    <row r="8" spans="1:15" s="2" customFormat="1" ht="54" customHeight="1" x14ac:dyDescent="0.25">
      <c r="A8" s="17"/>
      <c r="B8" s="138" t="s">
        <v>34</v>
      </c>
      <c r="C8" s="138"/>
      <c r="D8" s="138"/>
      <c r="E8" s="138"/>
      <c r="F8" s="138"/>
      <c r="G8" s="138"/>
      <c r="M8" s="46"/>
      <c r="N8" s="46"/>
    </row>
    <row r="9" spans="1:15" s="2" customFormat="1" ht="6" customHeight="1" x14ac:dyDescent="0.25">
      <c r="A9" s="17"/>
      <c r="B9" s="21"/>
      <c r="C9" s="21"/>
      <c r="D9" s="21"/>
      <c r="E9" s="21"/>
      <c r="F9" s="21"/>
      <c r="G9" s="21"/>
      <c r="M9" s="46"/>
      <c r="N9" s="46"/>
    </row>
    <row r="10" spans="1:15" s="3" customFormat="1" ht="49.5" customHeight="1" x14ac:dyDescent="0.25">
      <c r="A10" s="139" t="s">
        <v>35</v>
      </c>
      <c r="B10" s="139"/>
      <c r="C10" s="139"/>
      <c r="D10" s="139"/>
      <c r="E10" s="139"/>
      <c r="F10" s="139"/>
      <c r="G10" s="139"/>
      <c r="M10" s="4"/>
      <c r="N10" s="4"/>
    </row>
    <row r="11" spans="1:15" s="3" customFormat="1" ht="27" customHeight="1" x14ac:dyDescent="0.25">
      <c r="A11" s="140" t="s">
        <v>36</v>
      </c>
      <c r="B11" s="140"/>
      <c r="C11" s="140"/>
      <c r="D11" s="140"/>
      <c r="E11" s="140"/>
      <c r="F11" s="140"/>
      <c r="G11" s="140"/>
      <c r="M11" s="4"/>
      <c r="N11" s="4"/>
    </row>
    <row r="12" spans="1:15" s="4" customFormat="1" ht="30.75" customHeight="1" x14ac:dyDescent="0.25">
      <c r="A12" s="22" t="s">
        <v>37</v>
      </c>
      <c r="B12" s="141" t="s">
        <v>4</v>
      </c>
      <c r="C12" s="142"/>
      <c r="D12" s="23" t="s">
        <v>5</v>
      </c>
      <c r="E12" s="24" t="s">
        <v>6</v>
      </c>
      <c r="F12" s="24" t="s">
        <v>38</v>
      </c>
      <c r="G12" s="24" t="s">
        <v>39</v>
      </c>
      <c r="L12" s="47"/>
      <c r="M12" s="48"/>
      <c r="N12" s="49"/>
      <c r="O12" s="153"/>
    </row>
    <row r="13" spans="1:15" s="3" customFormat="1" ht="18" customHeight="1" x14ac:dyDescent="0.25">
      <c r="A13" s="25">
        <v>1</v>
      </c>
      <c r="B13" s="143">
        <v>50655</v>
      </c>
      <c r="C13" s="144"/>
      <c r="D13" s="26" t="s">
        <v>7</v>
      </c>
      <c r="E13" s="27">
        <v>1000</v>
      </c>
      <c r="F13" s="28">
        <v>15.35</v>
      </c>
      <c r="G13" s="28">
        <f t="shared" ref="G13:G18" si="0">F13*E13</f>
        <v>15350</v>
      </c>
      <c r="J13" s="51"/>
      <c r="M13" s="4"/>
      <c r="N13" s="4"/>
      <c r="O13" s="153"/>
    </row>
    <row r="14" spans="1:15" s="3" customFormat="1" ht="18" customHeight="1" x14ac:dyDescent="0.25">
      <c r="A14" s="25">
        <v>2</v>
      </c>
      <c r="B14" s="143">
        <v>50755</v>
      </c>
      <c r="C14" s="144"/>
      <c r="D14" s="26" t="s">
        <v>8</v>
      </c>
      <c r="E14" s="27">
        <v>1000</v>
      </c>
      <c r="F14" s="29">
        <v>15.35</v>
      </c>
      <c r="G14" s="28">
        <f t="shared" si="0"/>
        <v>15350</v>
      </c>
      <c r="J14" s="51"/>
      <c r="M14" s="4"/>
      <c r="N14" s="4"/>
      <c r="O14" s="50"/>
    </row>
    <row r="15" spans="1:15" s="3" customFormat="1" ht="18" customHeight="1" x14ac:dyDescent="0.25">
      <c r="A15" s="25">
        <v>3</v>
      </c>
      <c r="B15" s="143">
        <v>50665</v>
      </c>
      <c r="C15" s="144"/>
      <c r="D15" s="26" t="s">
        <v>9</v>
      </c>
      <c r="E15" s="27">
        <v>1000</v>
      </c>
      <c r="F15" s="29">
        <v>3.58</v>
      </c>
      <c r="G15" s="28">
        <f t="shared" si="0"/>
        <v>3580</v>
      </c>
      <c r="J15" s="51"/>
      <c r="M15" s="4"/>
      <c r="N15" s="4"/>
      <c r="O15" s="50"/>
    </row>
    <row r="16" spans="1:15" s="3" customFormat="1" ht="18" customHeight="1" x14ac:dyDescent="0.25">
      <c r="A16" s="25">
        <v>4</v>
      </c>
      <c r="B16" s="143">
        <v>50765</v>
      </c>
      <c r="C16" s="144"/>
      <c r="D16" s="26" t="s">
        <v>10</v>
      </c>
      <c r="E16" s="27">
        <v>1000</v>
      </c>
      <c r="F16" s="29">
        <v>3.58</v>
      </c>
      <c r="G16" s="28">
        <f t="shared" si="0"/>
        <v>3580</v>
      </c>
      <c r="J16" s="51"/>
      <c r="M16" s="4"/>
      <c r="N16" s="4"/>
      <c r="O16" s="50"/>
    </row>
    <row r="17" spans="1:15" s="3" customFormat="1" ht="18" customHeight="1" x14ac:dyDescent="0.25">
      <c r="A17" s="25">
        <v>5</v>
      </c>
      <c r="B17" s="143">
        <v>50720</v>
      </c>
      <c r="C17" s="144"/>
      <c r="D17" s="26" t="s">
        <v>11</v>
      </c>
      <c r="E17" s="27">
        <v>1000</v>
      </c>
      <c r="F17" s="29">
        <v>17.63</v>
      </c>
      <c r="G17" s="28">
        <f t="shared" si="0"/>
        <v>17630</v>
      </c>
      <c r="J17" s="51"/>
      <c r="M17" s="4"/>
      <c r="N17" s="4"/>
      <c r="O17" s="50"/>
    </row>
    <row r="18" spans="1:15" s="3" customFormat="1" ht="18" customHeight="1" x14ac:dyDescent="0.25">
      <c r="A18" s="30">
        <v>6</v>
      </c>
      <c r="B18" s="143">
        <v>50730</v>
      </c>
      <c r="C18" s="144"/>
      <c r="D18" s="31" t="s">
        <v>12</v>
      </c>
      <c r="E18" s="27">
        <v>1000</v>
      </c>
      <c r="F18" s="28">
        <v>17.63</v>
      </c>
      <c r="G18" s="28">
        <f t="shared" si="0"/>
        <v>17630</v>
      </c>
      <c r="J18" s="51"/>
      <c r="M18" s="4"/>
      <c r="N18" s="4"/>
      <c r="O18" s="50"/>
    </row>
    <row r="19" spans="1:15" s="4" customFormat="1" ht="16.5" customHeight="1" x14ac:dyDescent="0.25">
      <c r="A19" s="154" t="s">
        <v>13</v>
      </c>
      <c r="B19" s="155"/>
      <c r="C19" s="156"/>
      <c r="D19" s="32"/>
      <c r="E19" s="147">
        <f>SUM(E13:E18)</f>
        <v>6000</v>
      </c>
      <c r="F19" s="149"/>
      <c r="G19" s="151">
        <f>SUM(G13:G18)</f>
        <v>73120</v>
      </c>
      <c r="H19" s="33"/>
    </row>
    <row r="20" spans="1:15" s="4" customFormat="1" ht="13.5" customHeight="1" x14ac:dyDescent="0.25">
      <c r="A20" s="157"/>
      <c r="B20" s="158"/>
      <c r="C20" s="159"/>
      <c r="D20" s="34"/>
      <c r="E20" s="148"/>
      <c r="F20" s="150"/>
      <c r="G20" s="152"/>
    </row>
    <row r="21" spans="1:15" s="4" customFormat="1" ht="30" hidden="1" customHeight="1" x14ac:dyDescent="0.25">
      <c r="A21" s="145" t="s">
        <v>40</v>
      </c>
      <c r="B21" s="145"/>
      <c r="C21" s="145"/>
      <c r="D21" s="145"/>
      <c r="E21" s="145"/>
      <c r="F21" s="145"/>
      <c r="G21" s="145"/>
      <c r="J21" s="52"/>
    </row>
    <row r="22" spans="1:15" s="4" customFormat="1" ht="30" customHeight="1" x14ac:dyDescent="0.25">
      <c r="A22" s="146" t="s">
        <v>41</v>
      </c>
      <c r="B22" s="146"/>
      <c r="C22" s="146"/>
      <c r="D22" s="146"/>
      <c r="E22" s="146"/>
      <c r="F22" s="146"/>
      <c r="G22" s="146"/>
      <c r="J22" s="52"/>
    </row>
    <row r="23" spans="1:15" s="4" customFormat="1" ht="21.75" customHeight="1" x14ac:dyDescent="0.25">
      <c r="A23" s="36" t="s">
        <v>15</v>
      </c>
      <c r="B23" s="35"/>
      <c r="C23" s="35"/>
      <c r="D23" s="35"/>
      <c r="E23" s="35"/>
      <c r="F23" s="35"/>
      <c r="G23" s="35"/>
      <c r="J23" s="52"/>
    </row>
    <row r="24" spans="1:15" s="4" customFormat="1" ht="21.75" customHeight="1" x14ac:dyDescent="0.25">
      <c r="A24" s="36" t="s">
        <v>16</v>
      </c>
      <c r="B24" s="35"/>
      <c r="C24" s="35"/>
      <c r="D24" s="35"/>
      <c r="E24" s="35"/>
      <c r="F24" s="35"/>
      <c r="G24" s="35"/>
      <c r="J24" s="52"/>
    </row>
    <row r="25" spans="1:15" s="4" customFormat="1" ht="21.75" customHeight="1" x14ac:dyDescent="0.25">
      <c r="A25" s="36" t="s">
        <v>17</v>
      </c>
      <c r="B25" s="35"/>
      <c r="C25" s="35"/>
      <c r="D25" s="35"/>
      <c r="E25" s="35"/>
      <c r="F25" s="35"/>
      <c r="G25" s="35"/>
      <c r="J25" s="52"/>
    </row>
    <row r="26" spans="1:15" s="4" customFormat="1" ht="1.5" customHeight="1" x14ac:dyDescent="0.25">
      <c r="A26" s="35"/>
      <c r="B26" s="35"/>
      <c r="C26" s="35"/>
      <c r="D26" s="35"/>
      <c r="E26" s="35"/>
      <c r="F26" s="35"/>
      <c r="G26" s="35"/>
      <c r="J26" s="52"/>
    </row>
    <row r="27" spans="1:15" s="4" customFormat="1" ht="30" customHeight="1" x14ac:dyDescent="0.25">
      <c r="A27" s="146" t="s">
        <v>42</v>
      </c>
      <c r="B27" s="146"/>
      <c r="C27" s="146"/>
      <c r="D27" s="146"/>
      <c r="E27" s="146"/>
      <c r="F27" s="146"/>
      <c r="G27" s="146"/>
      <c r="J27" s="52"/>
    </row>
    <row r="28" spans="1:15" s="5" customFormat="1" ht="19.5" customHeight="1" x14ac:dyDescent="0.25">
      <c r="A28" s="36" t="s">
        <v>43</v>
      </c>
      <c r="C28" s="36"/>
      <c r="D28" s="36"/>
      <c r="G28" s="36"/>
      <c r="M28" s="53"/>
      <c r="N28" s="53"/>
    </row>
    <row r="29" spans="1:15" s="5" customFormat="1" ht="19.5" customHeight="1" x14ac:dyDescent="0.25">
      <c r="A29" s="36" t="s">
        <v>44</v>
      </c>
      <c r="C29" s="36"/>
      <c r="D29" s="36"/>
      <c r="G29" s="18"/>
      <c r="M29" s="53"/>
      <c r="N29" s="53"/>
    </row>
    <row r="30" spans="1:15" s="6" customFormat="1" ht="19.5" customHeight="1" x14ac:dyDescent="0.25">
      <c r="A30" s="36" t="s">
        <v>45</v>
      </c>
      <c r="C30" s="37"/>
      <c r="D30" s="37"/>
      <c r="G30" s="38"/>
      <c r="M30" s="54"/>
      <c r="N30" s="54"/>
    </row>
    <row r="31" spans="1:15" s="6" customFormat="1" ht="19.5" customHeight="1" x14ac:dyDescent="0.25">
      <c r="A31" s="36" t="s">
        <v>46</v>
      </c>
      <c r="C31" s="36"/>
      <c r="D31" s="36"/>
      <c r="G31" s="36"/>
      <c r="M31" s="54"/>
      <c r="N31" s="54"/>
    </row>
    <row r="32" spans="1:15" s="6" customFormat="1" ht="19.5" customHeight="1" x14ac:dyDescent="0.25">
      <c r="A32" s="36" t="s">
        <v>47</v>
      </c>
      <c r="C32" s="36"/>
      <c r="D32" s="36"/>
      <c r="G32" s="36"/>
      <c r="M32" s="54"/>
      <c r="N32" s="54"/>
    </row>
    <row r="33" spans="1:14" s="6" customFormat="1" ht="19.5" customHeight="1" x14ac:dyDescent="0.25">
      <c r="A33" s="36" t="s">
        <v>48</v>
      </c>
      <c r="C33" s="36"/>
      <c r="D33" s="36"/>
      <c r="G33" s="36"/>
      <c r="M33" s="54"/>
      <c r="N33" s="54"/>
    </row>
    <row r="34" spans="1:14" s="4" customFormat="1" ht="30" customHeight="1" x14ac:dyDescent="0.25">
      <c r="A34" s="146" t="s">
        <v>49</v>
      </c>
      <c r="B34" s="146"/>
      <c r="C34" s="146"/>
      <c r="D34" s="146"/>
      <c r="E34" s="146"/>
      <c r="F34" s="146"/>
      <c r="G34" s="146"/>
      <c r="J34" s="52"/>
    </row>
    <row r="35" spans="1:14" s="5" customFormat="1" ht="19.5" customHeight="1" x14ac:dyDescent="0.25">
      <c r="A35" s="36" t="s">
        <v>50</v>
      </c>
      <c r="C35" s="36"/>
      <c r="D35" s="36"/>
      <c r="G35" s="36"/>
      <c r="M35" s="53"/>
      <c r="N35" s="53"/>
    </row>
    <row r="36" spans="1:14" s="5" customFormat="1" ht="19.5" customHeight="1" x14ac:dyDescent="0.25">
      <c r="A36" s="36" t="s">
        <v>51</v>
      </c>
      <c r="C36" s="36"/>
      <c r="D36" s="36"/>
      <c r="G36" s="18"/>
      <c r="M36" s="53"/>
      <c r="N36" s="53"/>
    </row>
    <row r="37" spans="1:14" s="4" customFormat="1" ht="30" customHeight="1" x14ac:dyDescent="0.25">
      <c r="A37" s="146" t="s">
        <v>52</v>
      </c>
      <c r="B37" s="146"/>
      <c r="C37" s="146"/>
      <c r="D37" s="146"/>
      <c r="E37" s="146"/>
      <c r="F37" s="146"/>
      <c r="G37" s="146"/>
      <c r="J37" s="52"/>
    </row>
    <row r="38" spans="1:14" s="6" customFormat="1" ht="19.5" customHeight="1" x14ac:dyDescent="0.25">
      <c r="A38" s="36" t="s">
        <v>53</v>
      </c>
      <c r="C38" s="36"/>
      <c r="D38" s="36"/>
      <c r="G38" s="36"/>
      <c r="M38" s="54"/>
      <c r="N38" s="54"/>
    </row>
    <row r="39" spans="1:14" s="6" customFormat="1" ht="19.5" customHeight="1" x14ac:dyDescent="0.25">
      <c r="A39" s="36" t="s">
        <v>54</v>
      </c>
      <c r="C39" s="36"/>
      <c r="D39" s="36"/>
      <c r="G39" s="36"/>
      <c r="M39" s="54"/>
      <c r="N39" s="54"/>
    </row>
    <row r="40" spans="1:14" s="4" customFormat="1" ht="30" customHeight="1" x14ac:dyDescent="0.25">
      <c r="A40" s="146" t="s">
        <v>55</v>
      </c>
      <c r="B40" s="146"/>
      <c r="C40" s="146"/>
      <c r="D40" s="146"/>
      <c r="E40" s="146"/>
      <c r="F40" s="146"/>
      <c r="G40" s="146"/>
      <c r="J40" s="52"/>
    </row>
    <row r="41" spans="1:14" s="6" customFormat="1" ht="19.5" customHeight="1" x14ac:dyDescent="0.25">
      <c r="A41" s="164" t="s">
        <v>56</v>
      </c>
      <c r="B41" s="164"/>
      <c r="C41" s="164"/>
      <c r="D41" s="164"/>
      <c r="E41" s="164"/>
      <c r="F41" s="164"/>
      <c r="G41" s="164"/>
      <c r="M41" s="54"/>
      <c r="N41" s="54"/>
    </row>
    <row r="42" spans="1:14" s="6" customFormat="1" ht="44.25" customHeight="1" x14ac:dyDescent="0.25">
      <c r="A42" s="160" t="s">
        <v>57</v>
      </c>
      <c r="B42" s="160"/>
      <c r="C42" s="160"/>
      <c r="D42" s="160"/>
      <c r="E42" s="160"/>
      <c r="F42" s="160"/>
      <c r="G42" s="160"/>
      <c r="M42" s="54"/>
      <c r="N42" s="54"/>
    </row>
    <row r="43" spans="1:14" s="4" customFormat="1" ht="7.5" customHeight="1" x14ac:dyDescent="0.25">
      <c r="A43" s="35"/>
      <c r="B43" s="35"/>
      <c r="C43" s="35"/>
      <c r="D43" s="35"/>
      <c r="E43" s="35"/>
      <c r="F43" s="35"/>
      <c r="G43" s="35"/>
      <c r="J43" s="52"/>
    </row>
    <row r="44" spans="1:14" s="4" customFormat="1" ht="30" customHeight="1" x14ac:dyDescent="0.25">
      <c r="A44" s="146" t="s">
        <v>58</v>
      </c>
      <c r="B44" s="146"/>
      <c r="C44" s="146"/>
      <c r="D44" s="146"/>
      <c r="E44" s="146"/>
      <c r="F44" s="146"/>
      <c r="G44" s="146"/>
      <c r="J44" s="52"/>
    </row>
    <row r="45" spans="1:14" s="6" customFormat="1" ht="58.5" customHeight="1" x14ac:dyDescent="0.25">
      <c r="A45" s="161" t="s">
        <v>59</v>
      </c>
      <c r="B45" s="162"/>
      <c r="C45" s="162"/>
      <c r="D45" s="162"/>
      <c r="E45" s="162"/>
      <c r="F45" s="162"/>
      <c r="G45" s="162"/>
      <c r="M45" s="54"/>
      <c r="N45" s="54"/>
    </row>
    <row r="46" spans="1:14" s="4" customFormat="1" ht="7.5" customHeight="1" x14ac:dyDescent="0.25">
      <c r="A46" s="35"/>
      <c r="B46" s="35"/>
      <c r="C46" s="35"/>
      <c r="D46" s="35"/>
      <c r="E46" s="35"/>
      <c r="F46" s="35"/>
      <c r="G46" s="35"/>
      <c r="J46" s="52"/>
    </row>
    <row r="47" spans="1:14" s="4" customFormat="1" ht="30" customHeight="1" x14ac:dyDescent="0.25">
      <c r="A47" s="146" t="s">
        <v>60</v>
      </c>
      <c r="B47" s="146"/>
      <c r="C47" s="146"/>
      <c r="D47" s="146"/>
      <c r="E47" s="146"/>
      <c r="F47" s="146"/>
      <c r="G47" s="146"/>
      <c r="J47" s="52"/>
    </row>
    <row r="48" spans="1:14" s="6" customFormat="1" ht="46.5" customHeight="1" x14ac:dyDescent="0.25">
      <c r="A48" s="163" t="s">
        <v>61</v>
      </c>
      <c r="B48" s="163"/>
      <c r="C48" s="163"/>
      <c r="D48" s="163"/>
      <c r="E48" s="163"/>
      <c r="F48" s="163"/>
      <c r="G48" s="163"/>
      <c r="M48" s="54"/>
      <c r="N48" s="54"/>
    </row>
    <row r="49" spans="1:14" s="6" customFormat="1" ht="19.5" customHeight="1" x14ac:dyDescent="0.25">
      <c r="A49" s="36"/>
      <c r="C49" s="36"/>
      <c r="D49" s="36"/>
      <c r="G49" s="36"/>
      <c r="M49" s="54"/>
      <c r="N49" s="54"/>
    </row>
    <row r="50" spans="1:14" s="6" customFormat="1" ht="19.5" customHeight="1" x14ac:dyDescent="0.25">
      <c r="A50" s="146" t="s">
        <v>62</v>
      </c>
      <c r="B50" s="146"/>
      <c r="C50" s="146"/>
      <c r="D50" s="146"/>
      <c r="E50" s="146"/>
      <c r="F50" s="146"/>
      <c r="G50" s="146"/>
      <c r="M50" s="54"/>
      <c r="N50" s="54"/>
    </row>
    <row r="51" spans="1:14" s="6" customFormat="1" ht="19.5" customHeight="1" x14ac:dyDescent="0.25">
      <c r="A51" s="39" t="s">
        <v>63</v>
      </c>
      <c r="B51" s="39"/>
      <c r="C51" s="39"/>
      <c r="D51" s="39"/>
      <c r="E51" s="39" t="s">
        <v>64</v>
      </c>
      <c r="F51" s="39"/>
      <c r="G51" s="39"/>
      <c r="M51" s="54"/>
      <c r="N51" s="54"/>
    </row>
    <row r="52" spans="1:14" s="6" customFormat="1" ht="19.5" customHeight="1" x14ac:dyDescent="0.25">
      <c r="A52" s="40" t="str">
        <f>B4</f>
        <v>CHONGQING ALUSTARS INTERNATIONAL CO.,LTD.</v>
      </c>
      <c r="B52" s="40"/>
      <c r="C52" s="40"/>
      <c r="E52" s="40" t="str">
        <f>B7</f>
        <v>Montesa Honda, S.A.U.</v>
      </c>
      <c r="F52" s="41"/>
      <c r="G52" s="42"/>
      <c r="M52" s="54"/>
      <c r="N52" s="54"/>
    </row>
    <row r="53" spans="1:14" x14ac:dyDescent="0.25">
      <c r="A53" s="36" t="s">
        <v>65</v>
      </c>
      <c r="C53" s="43"/>
      <c r="D53" s="2"/>
      <c r="E53" s="36" t="s">
        <v>65</v>
      </c>
      <c r="G53" s="44"/>
    </row>
    <row r="54" spans="1:14" x14ac:dyDescent="0.25">
      <c r="A54" s="36" t="s">
        <v>66</v>
      </c>
      <c r="E54" s="36" t="s">
        <v>66</v>
      </c>
    </row>
  </sheetData>
  <mergeCells count="31">
    <mergeCell ref="A50:G50"/>
    <mergeCell ref="E19:E20"/>
    <mergeCell ref="F19:F20"/>
    <mergeCell ref="G19:G20"/>
    <mergeCell ref="O12:O13"/>
    <mergeCell ref="A19:C20"/>
    <mergeCell ref="A42:G42"/>
    <mergeCell ref="A44:G44"/>
    <mergeCell ref="A45:G45"/>
    <mergeCell ref="A47:G47"/>
    <mergeCell ref="A48:G48"/>
    <mergeCell ref="A27:G27"/>
    <mergeCell ref="A34:G34"/>
    <mergeCell ref="A37:G37"/>
    <mergeCell ref="A40:G40"/>
    <mergeCell ref="A41:G41"/>
    <mergeCell ref="B16:C16"/>
    <mergeCell ref="B17:C17"/>
    <mergeCell ref="B18:C18"/>
    <mergeCell ref="A21:G21"/>
    <mergeCell ref="A22:G22"/>
    <mergeCell ref="A11:G11"/>
    <mergeCell ref="B12:C12"/>
    <mergeCell ref="B13:C13"/>
    <mergeCell ref="B14:C14"/>
    <mergeCell ref="B15:C15"/>
    <mergeCell ref="A1:G1"/>
    <mergeCell ref="B5:G5"/>
    <mergeCell ref="B7:F7"/>
    <mergeCell ref="B8:G8"/>
    <mergeCell ref="A10:G10"/>
  </mergeCells>
  <phoneticPr fontId="15" type="noConversion"/>
  <printOptions horizontalCentered="1"/>
  <pageMargins left="0.62992125984252001" right="0.62992125984252001" top="0.35433070866141703" bottom="0.31496062992126" header="0.35433070866141703" footer="0.31496062992126"/>
  <pageSetup paperSize="9" scale="94" orientation="portrait" r:id="rId1"/>
  <headerFooter scaleWithDoc="0"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vt:i4>
      </vt:variant>
      <vt:variant>
        <vt:lpstr>命名范围</vt:lpstr>
      </vt:variant>
      <vt:variant>
        <vt:i4>2</vt:i4>
      </vt:variant>
    </vt:vector>
  </HeadingPairs>
  <TitlesOfParts>
    <vt:vector size="4" baseType="lpstr">
      <vt:lpstr>PI</vt:lpstr>
      <vt:lpstr>contract</vt:lpstr>
      <vt:lpstr>contract!Print_Area</vt:lpstr>
      <vt:lpstr>PI!Print_Area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hw</cp:lastModifiedBy>
  <cp:lastPrinted>2026-04-24T03:43:57Z</cp:lastPrinted>
  <dcterms:created xsi:type="dcterms:W3CDTF">2025-11-18T13:13:00Z</dcterms:created>
  <dcterms:modified xsi:type="dcterms:W3CDTF">2026-05-15T06:37:05Z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2052-11.1.0.9991</vt:lpwstr>
  </property>
</Properties>
</file>