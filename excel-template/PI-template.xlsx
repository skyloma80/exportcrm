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exportcrm\excel-template\"/>
    </mc:Choice>
  </mc:AlternateContent>
  <xr:revisionPtr revIDLastSave="0" documentId="13_ncr:1_{2818FCBC-5192-4563-8666-69B64136EFF1}" xr6:coauthVersionLast="47" xr6:coauthVersionMax="47" xr10:uidLastSave="{00000000-0000-0000-0000-000000000000}"/>
  <bookViews>
    <workbookView xWindow="-108" yWindow="-108" windowWidth="23256" windowHeight="12456" xr2:uid="{00000000-000D-0000-FFFF-FFFF00000000}"/>
  </bookViews>
  <sheets>
    <sheet name="PI" sheetId="9" r:id="rId1"/>
    <sheet name="contract" sheetId="8" state="hidden" r:id="rId2"/>
  </sheets>
  <definedNames>
    <definedName name="Excel_BuiltIn_Print_Area_1_1">#REF!</definedName>
    <definedName name="Excel_BuiltIn_Print_Titles_1_1">#REF!</definedName>
    <definedName name="LISCO_LIMITED_UNIT_1603__16_F.__YEN_SHENG_CENTRE__64_HOI_YUEN_ROAD__KWUN_TONG__KOWLOON__HONG_KONG">#REF!</definedName>
    <definedName name="_xlnm.Print_Area" localSheetId="1">contract!$A$1:$G$57</definedName>
    <definedName name="_xlnm.Print_Area" localSheetId="0">PI!$A$1:$H$34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9" l="1"/>
  <c r="E52" i="8"/>
  <c r="A52" i="8"/>
  <c r="E19" i="8"/>
  <c r="G18" i="8"/>
  <c r="G17" i="8"/>
  <c r="G16" i="8"/>
  <c r="G19" i="8" s="1"/>
  <c r="G15" i="8"/>
  <c r="G14" i="8"/>
  <c r="G13" i="8"/>
</calcChain>
</file>

<file path=xl/sharedStrings.xml><?xml version="1.0" encoding="utf-8"?>
<sst xmlns="http://schemas.openxmlformats.org/spreadsheetml/2006/main" count="120" uniqueCount="114">
  <si>
    <t>Chongqing Alustars International Co.,Ltd.</t>
  </si>
  <si>
    <t>A2602-003</t>
  </si>
  <si>
    <t>Montesa Honda, S.A.U.</t>
  </si>
  <si>
    <t>No.</t>
  </si>
  <si>
    <t>Part Number</t>
  </si>
  <si>
    <t>Part Name</t>
  </si>
  <si>
    <t>Quantity</t>
  </si>
  <si>
    <t>HOLDER, R STEP</t>
  </si>
  <si>
    <t>HOLDER, L STEP</t>
  </si>
  <si>
    <t>BRACKET, R STEP</t>
  </si>
  <si>
    <t>BRACKET, L STEP</t>
  </si>
  <si>
    <t>ARM, R STEP</t>
  </si>
  <si>
    <t>ARM, L STEP</t>
  </si>
  <si>
    <t>Total:</t>
  </si>
  <si>
    <t xml:space="preserve"> </t>
  </si>
  <si>
    <t>Each product is packed in an individual package with proper protection</t>
  </si>
  <si>
    <t>Boxes not exceed 15kgs, on which put a label with barcode as specified</t>
  </si>
  <si>
    <t>Material must be palletized</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</si>
  <si>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</si>
  <si>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</si>
  <si>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</si>
  <si>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</si>
  <si>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</si>
  <si>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</si>
  <si>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</si>
  <si>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</si>
  <si>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</si>
  <si>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</si>
  <si>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 xml:space="preserve"> Date: </t>
  </si>
  <si>
    <t>2026/3/20</t>
  </si>
  <si>
    <t>THE SELLER:</t>
  </si>
  <si>
    <t>CHONGQING ALUSTARS INTERNATIONAL CO.,LTD.</t>
  </si>
  <si>
    <t>No.194, Jiarui Avenue,Beibei District, Chongqing 400707,China
TAX ID 91500109MADTT20C93</t>
  </si>
  <si>
    <t xml:space="preserve">THE BUYER: </t>
  </si>
  <si>
    <t>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</si>
  <si>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</si>
  <si>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</si>
  <si>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</si>
  <si>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Unit Price</t>
  </si>
  <si>
    <t>Amount</t>
  </si>
  <si>
    <t>SAY TOTAL EURO SEVENTY THREE THOUSAND ONE HUNDRED AND TWENTY ONLY.</t>
  </si>
  <si>
    <t xml:space="preserve">2. Packaging </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</si>
  <si>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</si>
  <si>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</si>
  <si>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</si>
  <si>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</si>
  <si>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</si>
  <si>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</si>
  <si>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</si>
  <si>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</si>
  <si>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</si>
  <si>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</si>
  <si>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</si>
  <si>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</si>
  <si>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</si>
  <si>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</si>
  <si>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sz val="10"/>
        <rFont val="Univers"/>
        <family val="2"/>
      </rPr>
      <t xml:space="preserve">Pre-shipment Inspection: </t>
    </r>
    <r>
      <rPr>
        <sz val="10"/>
        <rFont val="Univers"/>
        <family val="2"/>
      </rPr>
      <t>the goods will be inspected by the Seller and sumbmit qualified inspection report.</t>
    </r>
  </si>
  <si>
    <r>
      <rPr>
        <b/>
        <sz val="10"/>
        <rFont val="Univers"/>
        <family val="2"/>
      </rPr>
      <t>Post-delivery Inspection:</t>
    </r>
    <r>
      <rPr>
        <sz val="10"/>
        <rFont val="Univers"/>
        <family val="2"/>
      </rPr>
      <t xml:space="preserve"> the Buyer shall have the right to inspect the goods upon arrival. Any claim for quality discrepancy must be made within 30 days of delivery, supported by a survey report issued by a reputable inspction agency.</t>
    </r>
  </si>
  <si>
    <t>7. Delivery Address</t>
  </si>
  <si>
    <t>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</si>
  <si>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</si>
  <si>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</si>
  <si>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</si>
  <si>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</si>
  <si>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</si>
  <si>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</si>
  <si>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</si>
  <si>
    <t>PROFORMA INVOICE</t>
    <phoneticPr fontId="15" type="noConversion"/>
  </si>
  <si>
    <t xml:space="preserve"> </t>
    <phoneticPr fontId="15" type="noConversion"/>
  </si>
  <si>
    <t>PO No.</t>
    <phoneticPr fontId="15" type="noConversion"/>
  </si>
  <si>
    <t>Invoice No.</t>
    <phoneticPr fontId="15" type="noConversion"/>
  </si>
  <si>
    <t>Date:</t>
    <phoneticPr fontId="15" type="noConversion"/>
  </si>
  <si>
    <t xml:space="preserve"> VAT 91500109MADTT20C92</t>
    <phoneticPr fontId="15" type="noConversion"/>
  </si>
  <si>
    <t xml:space="preserve"> www.alustars.com</t>
    <phoneticPr fontId="15" type="noConversion"/>
  </si>
  <si>
    <t xml:space="preserve">TO: </t>
    <phoneticPr fontId="15" type="noConversion"/>
  </si>
  <si>
    <t>TROCOMP S.A.</t>
    <phoneticPr fontId="15" type="noConversion"/>
  </si>
  <si>
    <t>Add.</t>
    <phoneticPr fontId="15" type="noConversion"/>
  </si>
  <si>
    <t>NIF:</t>
    <phoneticPr fontId="15" type="noConversion"/>
  </si>
  <si>
    <t>C/  Cadí, 18  -  Pol. Ind. Celrà 17460  Celrà (Girona)</t>
    <phoneticPr fontId="15" type="noConversion"/>
  </si>
  <si>
    <t>A17205873</t>
    <phoneticPr fontId="15" type="noConversion"/>
  </si>
  <si>
    <t xml:space="preserve">Supplier ID </t>
    <phoneticPr fontId="15" type="noConversion"/>
  </si>
  <si>
    <t>Description</t>
    <phoneticPr fontId="15" type="noConversion"/>
  </si>
  <si>
    <t>Unit Price</t>
    <phoneticPr fontId="15" type="noConversion"/>
  </si>
  <si>
    <t>Amount</t>
    <phoneticPr fontId="15" type="noConversion"/>
  </si>
  <si>
    <t>Terms and Conditions</t>
    <phoneticPr fontId="15" type="noConversion"/>
  </si>
  <si>
    <t xml:space="preserve">    Payment Term:</t>
    <phoneticPr fontId="15" type="noConversion"/>
  </si>
  <si>
    <t>0897</t>
    <phoneticPr fontId="15" type="noConversion"/>
  </si>
  <si>
    <t>26-00336</t>
    <phoneticPr fontId="15" type="noConversion"/>
  </si>
  <si>
    <t>A2604-001</t>
    <phoneticPr fontId="15" type="noConversion"/>
  </si>
  <si>
    <t>Apr 20, 2026</t>
    <phoneticPr fontId="15" type="noConversion"/>
  </si>
  <si>
    <t>Unit</t>
    <phoneticPr fontId="15" type="noConversion"/>
  </si>
  <si>
    <t>PCS</t>
    <phoneticPr fontId="15" type="noConversion"/>
  </si>
  <si>
    <t>TOTAL</t>
    <phoneticPr fontId="15" type="noConversion"/>
  </si>
  <si>
    <t>T/T 30% advance (1492.50 euros), 70% before shipment (3482.50 euros)</t>
    <phoneticPr fontId="15" type="noConversion"/>
  </si>
  <si>
    <t xml:space="preserve">    Price Term:</t>
    <phoneticPr fontId="15" type="noConversion"/>
  </si>
  <si>
    <t>EXW Shenzhen</t>
    <phoneticPr fontId="15" type="noConversion"/>
  </si>
  <si>
    <t xml:space="preserve">    Country of Origin:</t>
    <phoneticPr fontId="15" type="noConversion"/>
  </si>
  <si>
    <t>Spain</t>
    <phoneticPr fontId="15" type="noConversion"/>
  </si>
  <si>
    <t xml:space="preserve">    Country of Destination:</t>
    <phoneticPr fontId="15" type="noConversion"/>
  </si>
  <si>
    <t>China</t>
    <phoneticPr fontId="15" type="noConversion"/>
  </si>
  <si>
    <t xml:space="preserve">    Port of Loading:</t>
    <phoneticPr fontId="15" type="noConversion"/>
  </si>
  <si>
    <t xml:space="preserve">    Port of Discharge:</t>
    <phoneticPr fontId="15" type="noConversion"/>
  </si>
  <si>
    <t xml:space="preserve">    Mode of Shipment:</t>
    <phoneticPr fontId="15" type="noConversion"/>
  </si>
  <si>
    <t xml:space="preserve">    Time of Delivery</t>
    <phoneticPr fontId="15" type="noConversion"/>
  </si>
  <si>
    <t>Shenzhen</t>
    <phoneticPr fontId="15" type="noConversion"/>
  </si>
  <si>
    <t>Barcelona</t>
    <phoneticPr fontId="15" type="noConversion"/>
  </si>
  <si>
    <t>TBD</t>
    <phoneticPr fontId="15" type="noConversion"/>
  </si>
  <si>
    <t>25 days</t>
    <phoneticPr fontId="15" type="noConversion"/>
  </si>
  <si>
    <t>Remittance Instructions</t>
    <phoneticPr fontId="15" type="noConversion"/>
  </si>
  <si>
    <t>Signed by</t>
    <phoneticPr fontId="15" type="noConversion"/>
  </si>
  <si>
    <t xml:space="preserve">    1. BENEFICIARY NAME:CHONGQING ALUSTARS INTERNATIONAL CO.,LTD </t>
    <phoneticPr fontId="15" type="noConversion"/>
  </si>
  <si>
    <t xml:space="preserve">    Carlos Feliu
    VP of Business Development                                                      (Company Seal)</t>
    <phoneticPr fontId="15" type="noConversion"/>
  </si>
  <si>
    <t>Pilot Light Torch Tube</t>
    <phoneticPr fontId="15" type="noConversion"/>
  </si>
  <si>
    <t>0080-2062-0843</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</si>
</sst>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76" formatCode="_ * #,##0_ ;_ * \-#,##0_ ;_ * &quot;-&quot;??_ ;_ @_ "/>
    <numFmt numFmtId="177" formatCode="yyyy\-mm\-dd;@"/>
    <numFmt numFmtId="178" formatCode="#&quot;-MKTD000&quot;"/>
    <numFmt numFmtId="179" formatCode="#,##0_ "/>
    <numFmt numFmtId="180" formatCode="#,##0.00_ "/>
    <numFmt numFmtId="181" formatCode="&quot;US$&quot;#,##0.00;\-&quot;US$&quot;#,##0.00"/>
    <numFmt numFmtId="182" formatCode="#,##0.0000_ "/>
    <numFmt numFmtId="183" formatCode="_ * #,##0.0000_ ;_ * \-#,##0.0000_ ;_ * &quot;-&quot;??.00_ ;_ @_ "/>
    <numFmt numFmtId="184" formatCode="_ * #,##0.000_ ;_ * \-#,##0.000_ ;_ * &quot;-&quot;??.0_ ;_ @_ "/>
    <numFmt numFmtId="185" formatCode="_ * #,##0.00000_ ;_ * \-#,##0.00000_ ;_ * &quot;-&quot;??.000_ ;_ @_ "/>
    <numFmt numFmtId="186" formatCode="[$EUR]\ #,##0.00;[Red][$EUR]\ #,##0.00"/>
  </numFmts>
  <fonts count="30">
    <font>
      <sz val="11"/>
      <color theme="1"/>
      <name val="宋体"/>
      <charset val="134"/>
      <scheme val="minor"/>
    </font>
    <font>
      <sz val="12"/>
      <name val="Univers"/>
      <family val="2"/>
    </font>
    <font>
      <sz val="11"/>
      <name val="Univers"/>
      <family val="2"/>
    </font>
    <font>
      <sz val="10"/>
      <name val="Univers"/>
      <family val="2"/>
    </font>
    <font>
      <b/>
      <sz val="15"/>
      <name val="Univers"/>
      <family val="2"/>
    </font>
    <font>
      <sz val="10.5"/>
      <name val="Univers"/>
      <family val="2"/>
    </font>
    <font>
      <b/>
      <sz val="11"/>
      <color rgb="FF000000"/>
      <name val="Univers"/>
      <family val="2"/>
    </font>
    <font>
      <b/>
      <u/>
      <sz val="12"/>
      <name val="Univers"/>
      <family val="2"/>
    </font>
    <font>
      <sz val="8.5"/>
      <name val="Univers"/>
      <family val="2"/>
    </font>
    <font>
      <b/>
      <sz val="10.5"/>
      <name val="Univers"/>
      <family val="2"/>
    </font>
    <font>
      <sz val="9"/>
      <name val="Univers"/>
      <family val="2"/>
    </font>
    <font>
      <b/>
      <sz val="11"/>
      <name val="Univers"/>
      <family val="2"/>
    </font>
    <font>
      <b/>
      <sz val="10"/>
      <name val="Univers"/>
      <family val="2"/>
    </font>
    <font>
      <sz val="12"/>
      <name val="宋体"/>
      <family val="3"/>
      <charset val="134"/>
    </font>
    <font>
      <sz val="11"/>
      <color theme="1"/>
      <name val="宋体"/>
      <family val="3"/>
      <charset val="134"/>
      <scheme val="minor"/>
    </font>
    <font>
      <sz val="9"/>
      <name val="宋体"/>
      <family val="3"/>
      <charset val="134"/>
      <scheme val="minor"/>
    </font>
    <font>
      <b/>
      <sz val="16"/>
      <name val="Calibri"/>
      <family val="2"/>
    </font>
    <font>
      <sz val="12"/>
      <name val="Calibri"/>
      <family val="2"/>
    </font>
    <font>
      <sz val="16"/>
      <name val="Calibri"/>
      <family val="2"/>
    </font>
    <font>
      <sz val="16"/>
      <color theme="5"/>
      <name val="Calibri"/>
      <family val="2"/>
    </font>
    <font>
      <sz val="11"/>
      <name val="Calibri"/>
      <family val="2"/>
    </font>
    <font>
      <b/>
      <sz val="11"/>
      <name val="Calibri"/>
      <family val="2"/>
    </font>
    <font>
      <strike/>
      <sz val="11"/>
      <name val="Calibri"/>
      <family val="2"/>
    </font>
    <font>
      <sz val="24"/>
      <name val="Calibri"/>
      <family val="2"/>
    </font>
    <font>
      <b/>
      <sz val="11"/>
      <color theme="4"/>
      <name val="Calibri"/>
      <family val="2"/>
    </font>
    <font>
      <sz val="10"/>
      <name val="Calibri"/>
      <family val="2"/>
    </font>
    <font>
      <sz val="11"/>
      <color rgb="FF00B0F0"/>
      <name val="Calibri"/>
      <family val="2"/>
    </font>
    <font>
      <sz val="12"/>
      <color theme="5"/>
      <name val="Calibri"/>
      <family val="2"/>
    </font>
    <font>
      <b/>
      <sz val="12"/>
      <color theme="4" tint="-0.249977111117893"/>
      <name val="Calibri"/>
      <family val="2"/>
    </font>
    <font>
      <b/>
      <sz val="23"/>
      <name val="Calibri"/>
      <family val="2"/>
    </font>
  </fonts>
  <fills count="4">
    <fill>
      <patternFill patternType="none"/>
    </fill>
    <fill>
      <patternFill patternType="gray125"/>
    </fill>
    <fill>
      <patternFill patternType="solid">
        <fgColor theme="3" tint="0.79992065187536243"/>
        <bgColor indexed="64"/>
      </patternFill>
    </fill>
    <fill>
      <patternFill patternType="solid">
        <fgColor theme="2"/>
        <bgColor indexed="64"/>
      </patternFill>
    </fill>
  </fills>
  <borders count="19">
    <border>
      <left/>
      <right/>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right/>
      <top/>
      <bottom style="medium">
        <color theme="2" tint="-9.985656300546282E-2"/>
      </bottom>
      <diagonal/>
    </border>
    <border>
      <left/>
      <right/>
      <top/>
      <bottom style="medium">
        <color theme="2" tint="-9.9948118533890809E-2"/>
      </bottom>
      <diagonal/>
    </border>
    <border>
      <left/>
      <right/>
      <top style="medium">
        <color theme="2" tint="-9.985656300546282E-2"/>
      </top>
      <bottom/>
      <diagonal/>
    </border>
    <border>
      <left/>
      <right/>
      <top style="medium">
        <color theme="2" tint="-9.9948118533890809E-2"/>
      </top>
      <bottom/>
      <diagonal/>
    </border>
  </borders>
  <cellStyleXfs count="5">
    <xf numFmtId="0" fontId="0" fillId="0" borderId="0">
      <alignment vertical="center"/>
    </xf>
    <xf numFmtId="0" fontId="14" fillId="0" borderId="0">
      <alignment vertical="center"/>
    </xf>
    <xf numFmtId="43" fontId="13" fillId="0" borderId="0" applyFont="0" applyFill="0" applyBorder="0" applyAlignment="0" applyProtection="0">
      <alignment vertical="center"/>
    </xf>
    <xf numFmtId="0" fontId="13" fillId="0" borderId="0">
      <alignment vertical="center"/>
    </xf>
    <xf numFmtId="0" fontId="14" fillId="0" borderId="0">
      <alignment vertical="center"/>
    </xf>
  </cellStyleXfs>
  <cellXfs count="168">
    <xf numFmtId="0" fontId="0" fillId="0" borderId="0" xfId="0">
      <alignment vertical="center"/>
    </xf>
    <xf numFmtId="0" fontId="1" fillId="0" borderId="0" xfId="3" applyFont="1">
      <alignment vertical="center"/>
    </xf>
    <xf numFmtId="43" fontId="1" fillId="0" borderId="0" xfId="2" applyFont="1" applyBorder="1" applyAlignment="1">
      <alignment vertical="center"/>
    </xf>
    <xf numFmtId="43" fontId="2" fillId="0" borderId="0" xfId="2" applyFont="1" applyBorder="1" applyAlignment="1">
      <alignment vertical="center"/>
    </xf>
    <xf numFmtId="43" fontId="2" fillId="0" borderId="0" xfId="2" applyFont="1" applyBorder="1" applyAlignment="1">
      <alignment horizontal="center" vertical="center"/>
    </xf>
    <xf numFmtId="43" fontId="3" fillId="0" borderId="0" xfId="2" applyFont="1" applyBorder="1" applyAlignment="1">
      <alignment vertical="center"/>
    </xf>
    <xf numFmtId="43" fontId="3" fillId="0" borderId="0" xfId="2" applyFont="1" applyAlignment="1">
      <alignment vertical="center"/>
    </xf>
    <xf numFmtId="49" fontId="1" fillId="0" borderId="0" xfId="2" applyNumberFormat="1" applyFont="1" applyAlignment="1">
      <alignment horizontal="center" vertical="center"/>
    </xf>
    <xf numFmtId="43" fontId="1" fillId="0" borderId="0" xfId="2" applyFont="1" applyAlignment="1">
      <alignment vertical="center"/>
    </xf>
    <xf numFmtId="176" fontId="1" fillId="0" borderId="0" xfId="2" applyNumberFormat="1" applyFont="1" applyAlignment="1">
      <alignment horizontal="right" vertical="center"/>
    </xf>
    <xf numFmtId="176" fontId="1" fillId="0" borderId="0" xfId="2" applyNumberFormat="1" applyFont="1" applyAlignment="1">
      <alignment vertical="center"/>
    </xf>
    <xf numFmtId="43" fontId="1" fillId="0" borderId="0" xfId="2" applyFont="1" applyAlignment="1">
      <alignment horizontal="center" vertical="center"/>
    </xf>
    <xf numFmtId="0" fontId="5" fillId="0" borderId="0" xfId="3" applyFont="1" applyAlignment="1">
      <alignment horizontal="right"/>
    </xf>
    <xf numFmtId="49" fontId="5" fillId="0" borderId="0" xfId="3" applyNumberFormat="1" applyFont="1" applyAlignment="1">
      <alignment horizontal="left"/>
    </xf>
    <xf numFmtId="0" fontId="5" fillId="0" borderId="0" xfId="3" applyFont="1">
      <alignment vertical="center"/>
    </xf>
    <xf numFmtId="0" fontId="6" fillId="0" borderId="0" xfId="3" applyFont="1">
      <alignment vertical="center"/>
    </xf>
    <xf numFmtId="176" fontId="7" fillId="0" borderId="0" xfId="2" applyNumberFormat="1" applyFont="1" applyAlignment="1">
      <alignment horizontal="right" vertical="center"/>
    </xf>
    <xf numFmtId="49" fontId="1" fillId="0" borderId="0" xfId="2" applyNumberFormat="1" applyFont="1" applyBorder="1" applyAlignment="1">
      <alignment horizontal="center" vertical="center"/>
    </xf>
    <xf numFmtId="0" fontId="3" fillId="0" borderId="0" xfId="3" applyFont="1" applyAlignment="1">
      <alignment vertical="center" wrapText="1"/>
    </xf>
    <xf numFmtId="0" fontId="8" fillId="0" borderId="0" xfId="3" applyFont="1" applyAlignment="1">
      <alignment vertical="center" wrapText="1"/>
    </xf>
    <xf numFmtId="176" fontId="1" fillId="0" borderId="0" xfId="2" applyNumberFormat="1" applyFont="1" applyBorder="1" applyAlignment="1">
      <alignment vertical="center"/>
    </xf>
    <xf numFmtId="0" fontId="10" fillId="0" borderId="0" xfId="3" applyFont="1" applyAlignment="1">
      <alignment horizontal="left" wrapText="1"/>
    </xf>
    <xf numFmtId="0" fontId="2" fillId="0" borderId="2" xfId="3" applyFont="1" applyBorder="1" applyAlignment="1">
      <alignment horizontal="center" vertical="center" wrapText="1"/>
    </xf>
    <xf numFmtId="0" fontId="2" fillId="0" borderId="4" xfId="3" applyFont="1" applyBorder="1" applyAlignment="1">
      <alignment horizontal="center" vertical="center" wrapText="1"/>
    </xf>
    <xf numFmtId="0" fontId="2" fillId="0" borderId="5" xfId="3" applyFont="1" applyBorder="1" applyAlignment="1">
      <alignment horizontal="center" vertical="center" wrapText="1"/>
    </xf>
    <xf numFmtId="0" fontId="2" fillId="0" borderId="6" xfId="3" applyFont="1" applyBorder="1" applyAlignment="1">
      <alignment horizontal="center" vertical="center" wrapText="1"/>
    </xf>
    <xf numFmtId="0" fontId="2" fillId="0" borderId="1" xfId="3" applyFont="1" applyBorder="1" applyAlignment="1">
      <alignment horizontal="left" vertical="center" wrapText="1" indent="1"/>
    </xf>
    <xf numFmtId="179" fontId="2" fillId="0" borderId="6" xfId="3" applyNumberFormat="1" applyFont="1" applyBorder="1" applyAlignment="1">
      <alignment horizontal="center" vertical="center" wrapText="1"/>
    </xf>
    <xf numFmtId="180" fontId="2" fillId="0" borderId="5" xfId="3" applyNumberFormat="1" applyFont="1" applyBorder="1" applyAlignment="1">
      <alignment horizontal="center" vertical="center" wrapText="1"/>
    </xf>
    <xf numFmtId="180" fontId="2" fillId="0" borderId="7" xfId="3" applyNumberFormat="1" applyFont="1" applyBorder="1" applyAlignment="1">
      <alignment horizontal="center" vertical="center" wrapText="1"/>
    </xf>
    <xf numFmtId="0" fontId="2" fillId="0" borderId="8" xfId="3" applyFont="1" applyBorder="1" applyAlignment="1">
      <alignment horizontal="center" vertical="center" wrapText="1"/>
    </xf>
    <xf numFmtId="0" fontId="2" fillId="0" borderId="0" xfId="3" applyFont="1" applyAlignment="1">
      <alignment horizontal="left" vertical="center" wrapText="1" indent="1"/>
    </xf>
    <xf numFmtId="0" fontId="2" fillId="0" borderId="11" xfId="3" applyFont="1" applyBorder="1" applyAlignment="1">
      <alignment horizontal="center" vertical="center" wrapText="1"/>
    </xf>
    <xf numFmtId="181" fontId="2" fillId="0" borderId="0" xfId="2" applyNumberFormat="1" applyFont="1" applyBorder="1" applyAlignment="1">
      <alignment horizontal="center" vertical="center"/>
    </xf>
    <xf numFmtId="0" fontId="2" fillId="0" borderId="14" xfId="3" applyFont="1" applyBorder="1" applyAlignment="1">
      <alignment horizontal="center" vertical="center" wrapText="1"/>
    </xf>
    <xf numFmtId="0" fontId="11" fillId="0" borderId="0" xfId="3" applyFont="1" applyAlignment="1">
      <alignment horizontal="left" vertical="center" wrapText="1"/>
    </xf>
    <xf numFmtId="0" fontId="3" fillId="0" borderId="0" xfId="3" applyFont="1">
      <alignment vertical="center"/>
    </xf>
    <xf numFmtId="49" fontId="3" fillId="0" borderId="0" xfId="3" applyNumberFormat="1" applyFont="1">
      <alignment vertical="center"/>
    </xf>
    <xf numFmtId="15" fontId="3" fillId="0" borderId="0" xfId="3" applyNumberFormat="1" applyFont="1">
      <alignment vertical="center"/>
    </xf>
    <xf numFmtId="0" fontId="3" fillId="0" borderId="0" xfId="3" applyFont="1" applyAlignment="1"/>
    <xf numFmtId="0" fontId="3" fillId="0" borderId="0" xfId="2" applyNumberFormat="1" applyFont="1" applyAlignment="1">
      <alignment vertical="center"/>
    </xf>
    <xf numFmtId="176" fontId="3" fillId="0" borderId="0" xfId="2" applyNumberFormat="1" applyFont="1" applyAlignment="1">
      <alignment horizontal="right" vertical="center"/>
    </xf>
    <xf numFmtId="176" fontId="3" fillId="0" borderId="0" xfId="2" applyNumberFormat="1" applyFont="1" applyAlignment="1">
      <alignment vertical="center"/>
    </xf>
    <xf numFmtId="43" fontId="1" fillId="0" borderId="1" xfId="2" applyFont="1" applyBorder="1" applyAlignment="1">
      <alignment vertical="center"/>
    </xf>
    <xf numFmtId="176" fontId="1" fillId="0" borderId="1" xfId="2" applyNumberFormat="1" applyFont="1" applyBorder="1" applyAlignment="1">
      <alignment vertical="center"/>
    </xf>
    <xf numFmtId="0" fontId="1" fillId="0" borderId="0" xfId="3" applyFont="1" applyAlignment="1">
      <alignment horizontal="center" vertical="center"/>
    </xf>
    <xf numFmtId="43" fontId="1" fillId="0" borderId="0" xfId="2" applyFont="1" applyBorder="1" applyAlignment="1">
      <alignment horizontal="center" vertical="center"/>
    </xf>
    <xf numFmtId="182" fontId="2" fillId="0" borderId="0" xfId="2" applyNumberFormat="1" applyFont="1" applyBorder="1" applyAlignment="1">
      <alignment horizontal="center" vertical="center"/>
    </xf>
    <xf numFmtId="183" fontId="2" fillId="0" borderId="0" xfId="2" applyNumberFormat="1" applyFont="1" applyBorder="1" applyAlignment="1">
      <alignment horizontal="center" vertical="center"/>
    </xf>
    <xf numFmtId="184" fontId="2" fillId="0" borderId="0" xfId="2" applyNumberFormat="1" applyFont="1" applyBorder="1" applyAlignment="1">
      <alignment horizontal="center" vertical="center"/>
    </xf>
    <xf numFmtId="43" fontId="2" fillId="0" borderId="0" xfId="2" applyFont="1" applyBorder="1" applyAlignment="1">
      <alignment horizontal="left" vertical="center"/>
    </xf>
    <xf numFmtId="43" fontId="2" fillId="0" borderId="0" xfId="2" applyFont="1" applyBorder="1" applyAlignment="1">
      <alignment horizontal="right" vertical="center"/>
    </xf>
    <xf numFmtId="185" fontId="2" fillId="0" borderId="0" xfId="2" applyNumberFormat="1" applyFont="1" applyBorder="1" applyAlignment="1">
      <alignment horizontal="center" vertical="center"/>
    </xf>
    <xf numFmtId="43" fontId="3" fillId="0" borderId="0" xfId="2" applyFont="1" applyBorder="1" applyAlignment="1">
      <alignment horizontal="center" vertical="center"/>
    </xf>
    <xf numFmtId="43" fontId="3" fillId="0" borderId="0" xfId="2" applyFont="1" applyAlignment="1">
      <alignment horizontal="center" vertical="center"/>
    </xf>
    <xf numFmtId="0" fontId="17" fillId="0" borderId="0" xfId="3" applyFont="1">
      <alignment vertical="center"/>
    </xf>
    <xf numFmtId="0" fontId="17" fillId="0" borderId="0" xfId="3" applyFont="1" applyAlignment="1">
      <alignment horizontal="center" vertical="center"/>
    </xf>
    <xf numFmtId="43" fontId="17" fillId="0" borderId="0" xfId="2" applyFont="1" applyAlignment="1">
      <alignment vertical="center"/>
    </xf>
    <xf numFmtId="176" fontId="17" fillId="0" borderId="0" xfId="2" applyNumberFormat="1" applyFont="1" applyAlignment="1">
      <alignment horizontal="right" vertical="center"/>
    </xf>
    <xf numFmtId="176" fontId="17" fillId="0" borderId="0" xfId="2" applyNumberFormat="1" applyFont="1" applyAlignment="1">
      <alignment vertical="center"/>
    </xf>
    <xf numFmtId="43" fontId="17" fillId="0" borderId="0" xfId="2" applyFont="1" applyAlignment="1">
      <alignment horizontal="center" vertical="center"/>
    </xf>
    <xf numFmtId="43" fontId="20" fillId="0" borderId="0" xfId="2" applyFont="1" applyAlignment="1">
      <alignment vertical="center"/>
    </xf>
    <xf numFmtId="43" fontId="20" fillId="0" borderId="0" xfId="2" applyFont="1" applyAlignment="1">
      <alignment horizontal="center" vertical="center"/>
    </xf>
    <xf numFmtId="49" fontId="17" fillId="0" borderId="0" xfId="2" applyNumberFormat="1" applyFont="1" applyAlignment="1">
      <alignment horizontal="left" vertical="center"/>
    </xf>
    <xf numFmtId="0" fontId="20" fillId="0" borderId="0" xfId="3" applyFont="1" applyAlignment="1">
      <alignment horizontal="center" vertical="top" wrapText="1"/>
    </xf>
    <xf numFmtId="0" fontId="17" fillId="0" borderId="0" xfId="3" applyFont="1" applyAlignment="1">
      <alignment vertical="top"/>
    </xf>
    <xf numFmtId="43" fontId="17" fillId="0" borderId="0" xfId="2" applyFont="1" applyBorder="1" applyAlignment="1">
      <alignment vertical="top"/>
    </xf>
    <xf numFmtId="43" fontId="17" fillId="0" borderId="0" xfId="2" applyFont="1" applyBorder="1" applyAlignment="1">
      <alignment horizontal="center" vertical="top"/>
    </xf>
    <xf numFmtId="43" fontId="20" fillId="0" borderId="0" xfId="2" applyFont="1" applyAlignment="1">
      <alignment vertical="top"/>
    </xf>
    <xf numFmtId="0" fontId="17" fillId="0" borderId="0" xfId="3" applyFont="1" applyAlignment="1">
      <alignment horizontal="center" vertical="top"/>
    </xf>
    <xf numFmtId="43" fontId="20" fillId="0" borderId="0" xfId="2" applyFont="1" applyBorder="1" applyAlignment="1">
      <alignment horizontal="center" vertical="top"/>
    </xf>
    <xf numFmtId="43" fontId="20" fillId="0" borderId="0" xfId="2" applyFont="1" applyBorder="1" applyAlignment="1">
      <alignment horizontal="left" vertical="top"/>
    </xf>
    <xf numFmtId="0" fontId="20" fillId="0" borderId="0" xfId="3" applyFont="1" applyAlignment="1">
      <alignment horizontal="left" vertical="top" wrapText="1"/>
    </xf>
    <xf numFmtId="177" fontId="20" fillId="0" borderId="0" xfId="3" applyNumberFormat="1" applyFont="1" applyAlignment="1">
      <alignment horizontal="center" vertical="top" wrapText="1"/>
    </xf>
    <xf numFmtId="177" fontId="22" fillId="0" borderId="0" xfId="3" applyNumberFormat="1" applyFont="1" applyAlignment="1">
      <alignment horizontal="center" vertical="top" wrapText="1"/>
    </xf>
    <xf numFmtId="49" fontId="20" fillId="0" borderId="0" xfId="3" applyNumberFormat="1" applyFont="1" applyAlignment="1">
      <alignment horizontal="left" vertical="top" wrapText="1"/>
    </xf>
    <xf numFmtId="49" fontId="20" fillId="0" borderId="0" xfId="2" applyNumberFormat="1" applyFont="1" applyBorder="1" applyAlignment="1">
      <alignment horizontal="right" vertical="top"/>
    </xf>
    <xf numFmtId="43" fontId="20" fillId="0" borderId="0" xfId="2" applyFont="1" applyBorder="1" applyAlignment="1">
      <alignment horizontal="center" vertical="center"/>
    </xf>
    <xf numFmtId="43" fontId="20" fillId="0" borderId="0" xfId="2" applyFont="1" applyBorder="1" applyAlignment="1">
      <alignment vertical="center"/>
    </xf>
    <xf numFmtId="43" fontId="24" fillId="2" borderId="0" xfId="2" applyFont="1" applyFill="1" applyBorder="1" applyAlignment="1">
      <alignment horizontal="center" vertical="center"/>
    </xf>
    <xf numFmtId="0" fontId="20" fillId="0" borderId="0" xfId="3" applyFont="1" applyAlignment="1">
      <alignment horizontal="center" vertical="center" wrapText="1"/>
    </xf>
    <xf numFmtId="43" fontId="20" fillId="0" borderId="0" xfId="2" applyFont="1" applyBorder="1" applyAlignment="1">
      <alignment horizontal="right" vertical="center"/>
    </xf>
    <xf numFmtId="43" fontId="20" fillId="0" borderId="0" xfId="2" applyFont="1" applyBorder="1" applyAlignment="1">
      <alignment horizontal="left" vertical="center"/>
    </xf>
    <xf numFmtId="181" fontId="20" fillId="0" borderId="0" xfId="2" applyNumberFormat="1" applyFont="1" applyBorder="1" applyAlignment="1">
      <alignment horizontal="center" vertical="center"/>
    </xf>
    <xf numFmtId="185" fontId="20" fillId="0" borderId="0" xfId="2" applyNumberFormat="1" applyFont="1" applyBorder="1" applyAlignment="1">
      <alignment horizontal="center" vertical="center"/>
    </xf>
    <xf numFmtId="0" fontId="24" fillId="0" borderId="0" xfId="3" applyFont="1" applyAlignment="1">
      <alignment horizontal="left" wrapText="1"/>
    </xf>
    <xf numFmtId="0" fontId="21" fillId="0" borderId="0" xfId="3" applyFont="1" applyAlignment="1">
      <alignment horizontal="left" vertical="center" wrapText="1"/>
    </xf>
    <xf numFmtId="0" fontId="21" fillId="0" borderId="0" xfId="3" applyFont="1" applyAlignment="1">
      <alignment horizontal="left" vertical="top" wrapText="1"/>
    </xf>
    <xf numFmtId="185" fontId="20" fillId="0" borderId="0" xfId="2" applyNumberFormat="1" applyFont="1" applyBorder="1" applyAlignment="1">
      <alignment horizontal="center" vertical="top"/>
    </xf>
    <xf numFmtId="43" fontId="25" fillId="0" borderId="0" xfId="2" applyFont="1" applyAlignment="1">
      <alignment vertical="center"/>
    </xf>
    <xf numFmtId="43" fontId="25" fillId="0" borderId="0" xfId="2" applyFont="1" applyAlignment="1">
      <alignment horizontal="center" vertical="center"/>
    </xf>
    <xf numFmtId="0" fontId="26" fillId="0" borderId="15" xfId="3" applyFont="1" applyBorder="1" applyAlignment="1"/>
    <xf numFmtId="0" fontId="20" fillId="0" borderId="0" xfId="3" applyFont="1" applyAlignment="1"/>
    <xf numFmtId="0" fontId="20" fillId="0" borderId="0" xfId="3" applyFont="1">
      <alignment vertical="center"/>
    </xf>
    <xf numFmtId="0" fontId="17" fillId="0" borderId="0" xfId="2" applyNumberFormat="1" applyFont="1" applyAlignment="1">
      <alignment vertical="center"/>
    </xf>
    <xf numFmtId="43" fontId="17" fillId="0" borderId="0" xfId="2" applyFont="1" applyBorder="1" applyAlignment="1">
      <alignment vertical="center"/>
    </xf>
    <xf numFmtId="49" fontId="17" fillId="0" borderId="0" xfId="2" applyNumberFormat="1" applyFont="1" applyAlignment="1">
      <alignment horizontal="center" vertical="center"/>
    </xf>
    <xf numFmtId="0" fontId="21" fillId="0" borderId="0" xfId="3" applyFont="1" applyAlignment="1">
      <alignment horizontal="center" vertical="top"/>
    </xf>
    <xf numFmtId="43" fontId="17" fillId="0" borderId="0" xfId="2" applyFont="1" applyBorder="1" applyAlignment="1">
      <alignment horizontal="left" vertical="top"/>
    </xf>
    <xf numFmtId="0" fontId="21" fillId="0" borderId="0" xfId="3" applyFont="1" applyAlignment="1">
      <alignment horizontal="left" vertical="center"/>
    </xf>
    <xf numFmtId="0" fontId="17" fillId="0" borderId="0" xfId="3" applyFont="1" applyAlignment="1">
      <alignment horizontal="left" vertical="center"/>
    </xf>
    <xf numFmtId="49" fontId="19" fillId="0" borderId="0" xfId="2" applyNumberFormat="1" applyFont="1" applyBorder="1" applyAlignment="1">
      <alignment horizontal="left" vertical="center"/>
    </xf>
    <xf numFmtId="0" fontId="16" fillId="0" borderId="0" xfId="3" applyFont="1" applyAlignment="1"/>
    <xf numFmtId="43" fontId="18" fillId="0" borderId="0" xfId="2" applyFont="1" applyBorder="1" applyAlignment="1">
      <alignment horizontal="left" vertical="top"/>
    </xf>
    <xf numFmtId="49" fontId="18" fillId="0" borderId="0" xfId="2" applyNumberFormat="1" applyFont="1" applyBorder="1" applyAlignment="1">
      <alignment horizontal="left" vertical="center"/>
    </xf>
    <xf numFmtId="49" fontId="20" fillId="0" borderId="0" xfId="3" applyNumberFormat="1" applyFont="1" applyAlignment="1">
      <alignment horizontal="left" vertical="center"/>
    </xf>
    <xf numFmtId="49" fontId="17" fillId="0" borderId="16" xfId="2" applyNumberFormat="1" applyFont="1" applyBorder="1" applyAlignment="1">
      <alignment horizontal="left" vertical="center"/>
    </xf>
    <xf numFmtId="49" fontId="20" fillId="0" borderId="16" xfId="3" applyNumberFormat="1" applyFont="1" applyBorder="1" applyAlignment="1">
      <alignment horizontal="left" vertical="center"/>
    </xf>
    <xf numFmtId="43" fontId="20" fillId="0" borderId="16" xfId="2" applyFont="1" applyBorder="1" applyAlignment="1">
      <alignment vertical="center"/>
    </xf>
    <xf numFmtId="43" fontId="20" fillId="0" borderId="16" xfId="2" applyFont="1" applyBorder="1" applyAlignment="1">
      <alignment horizontal="center" vertical="center"/>
    </xf>
    <xf numFmtId="43" fontId="20" fillId="0" borderId="16" xfId="2" applyFont="1" applyBorder="1" applyAlignment="1">
      <alignment horizontal="left" vertical="center"/>
    </xf>
    <xf numFmtId="0" fontId="24" fillId="3" borderId="0" xfId="3" applyFont="1" applyFill="1" applyAlignment="1">
      <alignment horizontal="center" vertical="center" wrapText="1"/>
    </xf>
    <xf numFmtId="3" fontId="20" fillId="0" borderId="0" xfId="3" applyNumberFormat="1" applyFont="1" applyAlignment="1">
      <alignment horizontal="center" vertical="center" wrapText="1"/>
    </xf>
    <xf numFmtId="0" fontId="20" fillId="0" borderId="0" xfId="3" applyFont="1" applyAlignment="1">
      <alignment horizontal="left" vertical="center" wrapText="1"/>
    </xf>
    <xf numFmtId="179" fontId="20" fillId="0" borderId="0" xfId="3" applyNumberFormat="1" applyFont="1" applyAlignment="1">
      <alignment horizontal="center" vertical="center" wrapText="1"/>
    </xf>
    <xf numFmtId="182" fontId="20" fillId="0" borderId="0" xfId="3" applyNumberFormat="1" applyFont="1" applyAlignment="1">
      <alignment horizontal="center" vertical="center" wrapText="1"/>
    </xf>
    <xf numFmtId="180" fontId="20" fillId="0" borderId="0" xfId="3" applyNumberFormat="1" applyFont="1" applyAlignment="1">
      <alignment horizontal="center" vertical="center" wrapText="1"/>
    </xf>
    <xf numFmtId="0" fontId="20" fillId="0" borderId="0" xfId="3" applyFont="1">
      <alignment vertical="center"/>
    </xf>
    <xf numFmtId="49" fontId="27" fillId="0" borderId="17" xfId="2" applyNumberFormat="1" applyFont="1" applyBorder="1" applyAlignment="1">
      <alignment horizontal="left" vertical="center"/>
    </xf>
    <xf numFmtId="178" fontId="20" fillId="0" borderId="0" xfId="3" applyNumberFormat="1" applyFont="1" applyAlignment="1">
      <alignment horizontal="center" vertical="center" wrapText="1"/>
    </xf>
    <xf numFmtId="0" fontId="21" fillId="0" borderId="0" xfId="3" applyFont="1" applyAlignment="1">
      <alignment horizontal="justify" wrapText="1"/>
    </xf>
    <xf numFmtId="0" fontId="20" fillId="0" borderId="0" xfId="3" applyFont="1" applyAlignment="1">
      <alignment horizontal="justify" wrapText="1"/>
    </xf>
    <xf numFmtId="0" fontId="21" fillId="0" borderId="0" xfId="3" applyFont="1" applyAlignment="1">
      <alignment horizontal="center" vertical="center" wrapText="1"/>
    </xf>
    <xf numFmtId="186" fontId="21" fillId="0" borderId="0" xfId="3" applyNumberFormat="1" applyFont="1" applyAlignment="1">
      <alignment vertical="center" wrapText="1"/>
    </xf>
    <xf numFmtId="0" fontId="20" fillId="0" borderId="0" xfId="3" applyFont="1" applyAlignment="1">
      <alignment horizontal="left" wrapText="1"/>
    </xf>
    <xf numFmtId="0" fontId="28" fillId="0" borderId="0" xfId="3" applyFont="1" applyAlignment="1">
      <alignment horizontal="left" vertical="center" wrapText="1"/>
    </xf>
    <xf numFmtId="0" fontId="28" fillId="0" borderId="0" xfId="3" applyFont="1" applyAlignment="1">
      <alignment horizontal="left" wrapText="1"/>
    </xf>
    <xf numFmtId="0" fontId="20" fillId="0" borderId="0" xfId="3" applyFont="1" applyAlignment="1">
      <alignment horizontal="left" vertical="top"/>
    </xf>
    <xf numFmtId="43" fontId="21" fillId="2" borderId="0" xfId="2" applyFont="1" applyFill="1" applyBorder="1" applyAlignment="1">
      <alignment vertical="center" wrapText="1"/>
    </xf>
    <xf numFmtId="0" fontId="20" fillId="0" borderId="0" xfId="3" applyFont="1" applyAlignment="1">
      <alignment horizontal="left" vertical="top" wrapText="1"/>
    </xf>
    <xf numFmtId="0" fontId="29" fillId="0" borderId="0" xfId="3" applyFont="1" applyAlignment="1">
      <alignment horizontal="left" vertical="center"/>
    </xf>
    <xf numFmtId="43" fontId="17" fillId="0" borderId="0" xfId="2" applyFont="1" applyBorder="1" applyAlignment="1">
      <alignment horizontal="left" vertical="top"/>
    </xf>
    <xf numFmtId="0" fontId="23" fillId="0" borderId="0" xfId="3" applyFont="1" applyAlignment="1">
      <alignment horizontal="center" vertical="center" wrapText="1"/>
    </xf>
    <xf numFmtId="43" fontId="24" fillId="3" borderId="0" xfId="2" applyFont="1" applyFill="1" applyBorder="1" applyAlignment="1">
      <alignment horizontal="center" vertical="center"/>
    </xf>
    <xf numFmtId="49" fontId="17" fillId="0" borderId="0" xfId="2" applyNumberFormat="1" applyFont="1" applyBorder="1" applyAlignment="1">
      <alignment horizontal="left" vertical="center"/>
    </xf>
    <xf numFmtId="43" fontId="20" fillId="0" borderId="0" xfId="2" applyFont="1" applyBorder="1" applyAlignment="1">
      <alignment horizontal="left" vertical="center"/>
    </xf>
    <xf numFmtId="43" fontId="20" fillId="0" borderId="16" xfId="2" applyFont="1" applyBorder="1" applyAlignment="1">
      <alignment horizontal="left" vertical="center"/>
    </xf>
    <xf numFmtId="0" fontId="4" fillId="0" borderId="0" xfId="3" applyFont="1" applyAlignment="1">
      <alignment horizontal="center"/>
    </xf>
    <xf numFmtId="0" fontId="3" fillId="0" borderId="0" xfId="3" applyFont="1" applyAlignment="1">
      <alignment horizontal="left" vertical="top" wrapText="1"/>
    </xf>
    <xf numFmtId="0" fontId="9" fillId="0" borderId="0" xfId="3" applyFont="1" applyAlignment="1">
      <alignment horizontal="left" vertical="center"/>
    </xf>
    <xf numFmtId="0" fontId="3" fillId="0" borderId="0" xfId="3" applyFont="1" applyAlignment="1">
      <alignment vertical="top" wrapText="1"/>
    </xf>
    <xf numFmtId="0" fontId="2" fillId="0" borderId="0" xfId="3" applyFont="1" applyAlignment="1">
      <alignment horizontal="left" vertical="center" wrapText="1"/>
    </xf>
    <xf numFmtId="0" fontId="11" fillId="0" borderId="1" xfId="3" applyFont="1" applyBorder="1" applyAlignment="1">
      <alignment horizontal="left" vertical="center" wrapText="1"/>
    </xf>
    <xf numFmtId="43" fontId="2" fillId="0" borderId="2" xfId="2" applyFont="1" applyBorder="1" applyAlignment="1">
      <alignment horizontal="center" vertical="center"/>
    </xf>
    <xf numFmtId="43" fontId="2" fillId="0" borderId="3" xfId="2" applyFont="1" applyBorder="1" applyAlignment="1">
      <alignment horizontal="center" vertical="center"/>
    </xf>
    <xf numFmtId="178" fontId="2" fillId="0" borderId="2" xfId="3" applyNumberFormat="1" applyFont="1" applyBorder="1" applyAlignment="1">
      <alignment horizontal="center" vertical="center" wrapText="1"/>
    </xf>
    <xf numFmtId="178" fontId="2" fillId="0" borderId="3" xfId="3" applyNumberFormat="1" applyFont="1" applyBorder="1" applyAlignment="1">
      <alignment horizontal="center" vertical="center" wrapText="1"/>
    </xf>
    <xf numFmtId="0" fontId="12" fillId="0" borderId="0" xfId="3" applyFont="1" applyAlignment="1">
      <alignment horizontal="left" vertical="center" wrapText="1"/>
    </xf>
    <xf numFmtId="0" fontId="11" fillId="0" borderId="0" xfId="3" applyFont="1" applyAlignment="1">
      <alignment horizontal="left" vertical="center" wrapText="1"/>
    </xf>
    <xf numFmtId="3" fontId="2" fillId="0" borderId="12" xfId="3" applyNumberFormat="1" applyFont="1" applyBorder="1" applyAlignment="1">
      <alignment horizontal="center" vertical="center" wrapText="1"/>
    </xf>
    <xf numFmtId="3" fontId="2" fillId="0" borderId="7" xfId="3" applyNumberFormat="1" applyFont="1" applyBorder="1" applyAlignment="1">
      <alignment horizontal="center" vertical="center" wrapText="1"/>
    </xf>
    <xf numFmtId="0" fontId="2" fillId="0" borderId="13" xfId="3" applyFont="1" applyBorder="1" applyAlignment="1">
      <alignment horizontal="center" vertical="center" wrapText="1"/>
    </xf>
    <xf numFmtId="0" fontId="2" fillId="0" borderId="7" xfId="3" applyFont="1" applyBorder="1" applyAlignment="1">
      <alignment horizontal="center" vertical="center" wrapText="1"/>
    </xf>
    <xf numFmtId="180" fontId="11" fillId="0" borderId="13" xfId="3" applyNumberFormat="1" applyFont="1" applyBorder="1" applyAlignment="1">
      <alignment horizontal="center" vertical="center" wrapText="1"/>
    </xf>
    <xf numFmtId="180" fontId="11" fillId="0" borderId="7" xfId="3" applyNumberFormat="1" applyFont="1" applyBorder="1" applyAlignment="1">
      <alignment horizontal="center" vertical="center" wrapText="1"/>
    </xf>
    <xf numFmtId="43" fontId="2" fillId="0" borderId="0" xfId="2" applyFont="1" applyBorder="1" applyAlignment="1">
      <alignment horizontal="left" vertical="center"/>
    </xf>
    <xf numFmtId="0" fontId="2" fillId="0" borderId="9" xfId="3" applyFont="1" applyBorder="1" applyAlignment="1">
      <alignment horizontal="center" vertical="center" wrapText="1"/>
    </xf>
    <xf numFmtId="0" fontId="2" fillId="0" borderId="10" xfId="3" applyFont="1" applyBorder="1" applyAlignment="1">
      <alignment horizontal="center" vertical="center" wrapText="1"/>
    </xf>
    <xf numFmtId="0" fontId="2" fillId="0" borderId="11" xfId="3" applyFont="1" applyBorder="1" applyAlignment="1">
      <alignment horizontal="center" vertical="center" wrapText="1"/>
    </xf>
    <xf numFmtId="0" fontId="2" fillId="0" borderId="6" xfId="3" applyFont="1" applyBorder="1" applyAlignment="1">
      <alignment horizontal="center" vertical="center" wrapText="1"/>
    </xf>
    <xf numFmtId="0" fontId="2" fillId="0" borderId="1" xfId="3" applyFont="1" applyBorder="1" applyAlignment="1">
      <alignment horizontal="center" vertical="center" wrapText="1"/>
    </xf>
    <xf numFmtId="0" fontId="2" fillId="0" borderId="14" xfId="3" applyFont="1" applyBorder="1" applyAlignment="1">
      <alignment horizontal="center" vertical="center" wrapText="1"/>
    </xf>
    <xf numFmtId="0" fontId="12" fillId="0" borderId="0" xfId="3" applyFont="1" applyAlignment="1">
      <alignment horizontal="justify" vertical="center" wrapText="1"/>
    </xf>
    <xf numFmtId="0" fontId="3" fillId="0" borderId="0" xfId="3" applyFont="1" applyAlignment="1">
      <alignment horizontal="left" vertical="center" wrapText="1"/>
    </xf>
    <xf numFmtId="0" fontId="3" fillId="0" borderId="0" xfId="3" applyFont="1" applyAlignment="1">
      <alignment horizontal="left" vertical="center"/>
    </xf>
    <xf numFmtId="0" fontId="3" fillId="0" borderId="0" xfId="3" applyFont="1" applyAlignment="1">
      <alignment horizontal="justify" vertical="center" wrapText="1"/>
    </xf>
    <xf numFmtId="0" fontId="12" fillId="0" borderId="0" xfId="3" applyFont="1" applyAlignment="1">
      <alignment horizontal="left" vertical="center"/>
    </xf>
    <xf numFmtId="43" fontId="17" fillId="0" borderId="18" xfId="2" applyFont="1" applyBorder="1" applyAlignment="1">
      <alignment vertical="top"/>
    </xf>
  </cellXfs>
  <cellStyles count="5">
    <cellStyle name="常规" xfId="0" builtinId="0"/>
    <cellStyle name="常规 2" xfId="3" xr:uid="{00000000-0005-0000-0000-000033000000}"/>
    <cellStyle name="常规 6" xfId="1" xr:uid="{00000000-0005-0000-0000-00000D000000}"/>
    <cellStyle name="常规 7" xfId="4" xr:uid="{00000000-0005-0000-0000-000034000000}"/>
    <cellStyle name="千位分隔 2" xfId="2" xr:uid="{00000000-0005-0000-0000-000032000000}"/>
  </cellStyles>
  <dxfs count="0"/>
  <tableStyles count="0" defaultTableStyle="TableStyleMedium2" defaultPivotStyle="PivotStyleLight16"/>
  <colors>
    <mruColors>
      <color rgb="FFE9E9E3"/>
      <color rgb="FFCCECFF"/>
      <color rgb="FF00ADFA"/>
      <color rgb="FF00ADEA"/>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3" name="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18963" y="240064"/>
          <a:ext cx="3230551"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5"/>
  <sheetViews>
    <sheetView tabSelected="1" view="pageBreakPreview" zoomScaleNormal="115" zoomScaleSheetLayoutView="100" workbookViewId="0">
      <selection activeCell="B7" sqref="B7:D7"/>
    </sheetView>
  </sheetViews>
  <sheetFormatPr defaultColWidth="9" defaultRowHeight="15.6"/>
  <cols>
    <col min="1" max="1" width="6.33203125" style="96" customWidth="1"/>
    <col min="2" max="2" width="16.33203125" style="57" customWidth="1"/>
    <col min="3" max="3" width="8.44140625" style="57" customWidth="1"/>
    <col min="4" max="4" width="25.77734375" style="57" customWidth="1"/>
    <col min="5" max="5" width="10.109375" style="57" customWidth="1"/>
    <col min="6" max="6" width="10.88671875" style="57" customWidth="1"/>
    <col min="7" max="7" width="13" style="58" customWidth="1"/>
    <col min="8" max="8" width="12.88671875" style="59" customWidth="1"/>
    <col min="9" max="9" width="7" style="57" customWidth="1"/>
    <col min="10" max="10" width="10.88671875" style="57" customWidth="1"/>
    <col min="11" max="11" width="1" style="57" customWidth="1"/>
    <col min="12" max="12" width="11.6640625" style="57" customWidth="1"/>
    <col min="13" max="13" width="1.6640625" style="57" customWidth="1"/>
    <col min="14" max="14" width="10.88671875" style="60" customWidth="1"/>
    <col min="15" max="15" width="2.88671875" style="60" customWidth="1"/>
    <col min="16" max="16" width="15" style="57" customWidth="1"/>
    <col min="17" max="17" width="11.77734375" style="57" customWidth="1"/>
    <col min="18" max="18" width="12.77734375" style="57" customWidth="1"/>
    <col min="19" max="16384" width="9" style="57"/>
  </cols>
  <sheetData>
    <row r="1" spans="1:19" s="55" customFormat="1" ht="66" customHeight="1">
      <c r="A1" s="102"/>
      <c r="B1" s="102"/>
      <c r="C1" s="102"/>
      <c r="D1" s="102"/>
      <c r="E1" s="102"/>
      <c r="F1" s="130" t="s">
        <v>67</v>
      </c>
      <c r="G1" s="130"/>
      <c r="H1" s="130"/>
      <c r="N1" s="56"/>
      <c r="O1" s="56"/>
    </row>
    <row r="2" spans="1:19" ht="21.9" customHeight="1">
      <c r="A2" s="103" t="s">
        <v>0</v>
      </c>
      <c r="B2" s="95"/>
      <c r="C2" s="95"/>
      <c r="D2" s="95"/>
      <c r="E2" s="95"/>
      <c r="F2" s="82" t="s">
        <v>80</v>
      </c>
      <c r="G2" s="134" t="s">
        <v>86</v>
      </c>
      <c r="H2" s="134"/>
    </row>
    <row r="3" spans="1:19" s="61" customFormat="1" ht="21.9" customHeight="1">
      <c r="A3" s="104" t="s">
        <v>72</v>
      </c>
      <c r="B3" s="105"/>
      <c r="C3" s="78"/>
      <c r="D3" s="77"/>
      <c r="E3" s="77"/>
      <c r="F3" s="82" t="s">
        <v>69</v>
      </c>
      <c r="G3" s="135" t="s">
        <v>87</v>
      </c>
      <c r="H3" s="135"/>
      <c r="N3" s="62"/>
      <c r="O3" s="62"/>
    </row>
    <row r="4" spans="1:19" s="61" customFormat="1" ht="21.9" customHeight="1">
      <c r="A4" s="101" t="s">
        <v>73</v>
      </c>
      <c r="B4" s="105"/>
      <c r="C4" s="78"/>
      <c r="D4" s="77"/>
      <c r="E4" s="77"/>
      <c r="F4" s="82" t="s">
        <v>70</v>
      </c>
      <c r="G4" s="135" t="s">
        <v>88</v>
      </c>
      <c r="H4" s="135"/>
      <c r="J4" s="64"/>
      <c r="K4" s="65"/>
      <c r="L4" s="64"/>
      <c r="M4" s="66"/>
      <c r="N4" s="67"/>
      <c r="O4" s="67"/>
      <c r="P4" s="67"/>
      <c r="Q4" s="67"/>
    </row>
    <row r="5" spans="1:19" s="61" customFormat="1" ht="21.75" customHeight="1" thickBot="1">
      <c r="A5" s="106"/>
      <c r="B5" s="107"/>
      <c r="C5" s="108"/>
      <c r="D5" s="109"/>
      <c r="E5" s="109"/>
      <c r="F5" s="110" t="s">
        <v>71</v>
      </c>
      <c r="G5" s="136" t="s">
        <v>89</v>
      </c>
      <c r="H5" s="136"/>
      <c r="J5" s="64"/>
      <c r="K5" s="65"/>
      <c r="L5" s="64"/>
      <c r="M5" s="66"/>
      <c r="N5" s="67"/>
      <c r="O5" s="67"/>
      <c r="P5" s="67"/>
      <c r="Q5" s="67"/>
    </row>
    <row r="6" spans="1:19" s="66" customFormat="1" ht="20.100000000000001" customHeight="1">
      <c r="A6" s="97" t="s">
        <v>74</v>
      </c>
      <c r="B6" s="167" t="s">
        <v>75</v>
      </c>
      <c r="C6" s="167"/>
      <c r="D6" s="167"/>
      <c r="E6" s="68"/>
      <c r="F6" s="99"/>
      <c r="G6" s="100"/>
      <c r="H6" s="100"/>
      <c r="I6" s="69"/>
      <c r="J6" s="70"/>
      <c r="K6" s="70"/>
      <c r="L6" s="70"/>
      <c r="M6" s="70"/>
      <c r="N6" s="70"/>
      <c r="O6" s="70"/>
      <c r="P6" s="71"/>
      <c r="Q6" s="70"/>
      <c r="R6" s="70"/>
    </row>
    <row r="7" spans="1:19" s="66" customFormat="1" ht="20.100000000000001" customHeight="1">
      <c r="A7" s="76" t="s">
        <v>76</v>
      </c>
      <c r="B7" s="131" t="s">
        <v>78</v>
      </c>
      <c r="C7" s="131"/>
      <c r="D7" s="131"/>
      <c r="E7" s="98"/>
      <c r="F7" s="129"/>
      <c r="G7" s="129"/>
      <c r="H7" s="129"/>
      <c r="I7" s="67"/>
      <c r="J7" s="73"/>
      <c r="K7" s="67"/>
      <c r="L7" s="73"/>
      <c r="M7" s="67"/>
      <c r="N7" s="73"/>
      <c r="O7" s="67"/>
      <c r="P7" s="74"/>
      <c r="Q7" s="75"/>
      <c r="R7" s="73"/>
    </row>
    <row r="8" spans="1:19" s="66" customFormat="1" ht="20.100000000000001" customHeight="1">
      <c r="A8" s="76" t="s">
        <v>77</v>
      </c>
      <c r="B8" s="131" t="s">
        <v>79</v>
      </c>
      <c r="C8" s="131"/>
      <c r="D8" s="131"/>
      <c r="E8" s="98"/>
      <c r="F8" s="129"/>
      <c r="G8" s="129"/>
      <c r="H8" s="129"/>
      <c r="I8" s="64"/>
      <c r="J8" s="64"/>
      <c r="K8" s="64"/>
      <c r="L8" s="73"/>
      <c r="M8" s="67"/>
      <c r="N8" s="73"/>
      <c r="O8" s="67"/>
      <c r="P8" s="74"/>
      <c r="Q8" s="75"/>
      <c r="R8" s="73"/>
    </row>
    <row r="9" spans="1:19" s="78" customFormat="1" ht="23.25" customHeight="1">
      <c r="A9" s="132" t="s">
        <v>68</v>
      </c>
      <c r="B9" s="132"/>
      <c r="C9" s="132"/>
      <c r="D9" s="132"/>
      <c r="E9" s="132"/>
      <c r="F9" s="132"/>
      <c r="G9" s="132"/>
      <c r="H9" s="132"/>
      <c r="I9" s="77"/>
      <c r="J9" s="77"/>
      <c r="K9" s="77"/>
      <c r="L9" s="128"/>
      <c r="M9" s="128"/>
      <c r="N9" s="128"/>
      <c r="O9" s="128"/>
      <c r="P9" s="128"/>
      <c r="Q9" s="128"/>
      <c r="R9" s="128"/>
      <c r="S9" s="128"/>
    </row>
    <row r="10" spans="1:19" s="79" customFormat="1" ht="26.25" customHeight="1">
      <c r="A10" s="111" t="s">
        <v>3</v>
      </c>
      <c r="B10" s="133" t="s">
        <v>4</v>
      </c>
      <c r="C10" s="133"/>
      <c r="D10" s="111" t="s">
        <v>81</v>
      </c>
      <c r="E10" s="111" t="s">
        <v>6</v>
      </c>
      <c r="F10" s="111" t="s">
        <v>90</v>
      </c>
      <c r="G10" s="111" t="s">
        <v>82</v>
      </c>
      <c r="H10" s="111" t="s">
        <v>83</v>
      </c>
      <c r="L10" s="128"/>
      <c r="M10" s="128"/>
      <c r="N10" s="128"/>
      <c r="O10" s="128"/>
      <c r="P10" s="128"/>
      <c r="Q10" s="128"/>
      <c r="R10" s="128"/>
      <c r="S10" s="128"/>
    </row>
    <row r="11" spans="1:19" s="78" customFormat="1" ht="20.100000000000001" customHeight="1">
      <c r="A11" s="80">
        <v>1</v>
      </c>
      <c r="B11" s="119" t="s">
        <v>113</v>
      </c>
      <c r="C11" s="119"/>
      <c r="D11" s="113" t="s">
        <v>112</v>
      </c>
      <c r="E11" s="114">
        <v>250</v>
      </c>
      <c r="F11" s="114" t="s">
        <v>91</v>
      </c>
      <c r="G11" s="115">
        <v>14.3</v>
      </c>
      <c r="H11" s="116">
        <v>3575</v>
      </c>
      <c r="K11" s="81"/>
      <c r="N11" s="77"/>
      <c r="O11" s="77"/>
      <c r="P11" s="82"/>
      <c r="Q11" s="82"/>
    </row>
    <row r="12" spans="1:19" s="77" customFormat="1" ht="16.5" customHeight="1">
      <c r="A12" s="80" t="s">
        <v>68</v>
      </c>
      <c r="B12" s="80"/>
      <c r="C12" s="80"/>
      <c r="D12" s="80"/>
      <c r="E12" s="80"/>
      <c r="F12" s="112" t="s">
        <v>14</v>
      </c>
      <c r="G12" s="122" t="s">
        <v>92</v>
      </c>
      <c r="H12" s="123">
        <f>SUM(H11:H11)</f>
        <v>3575</v>
      </c>
      <c r="I12" s="83"/>
    </row>
    <row r="13" spans="1:19" s="77" customFormat="1" ht="13.5" customHeight="1">
      <c r="A13" s="80"/>
      <c r="B13" s="80"/>
      <c r="C13" s="80"/>
      <c r="D13" s="80"/>
      <c r="E13" s="80"/>
      <c r="F13" s="112"/>
      <c r="G13" s="122"/>
      <c r="H13" s="123"/>
    </row>
    <row r="14" spans="1:19" s="77" customFormat="1" ht="30" customHeight="1">
      <c r="A14" s="126" t="s">
        <v>84</v>
      </c>
      <c r="B14" s="126"/>
      <c r="C14" s="126"/>
      <c r="D14" s="126"/>
      <c r="E14" s="126"/>
      <c r="F14" s="126"/>
      <c r="G14" s="126"/>
      <c r="H14" s="126"/>
      <c r="K14" s="84"/>
    </row>
    <row r="15" spans="1:19" s="77" customFormat="1" ht="20.100000000000001" customHeight="1">
      <c r="A15" s="124" t="s">
        <v>85</v>
      </c>
      <c r="B15" s="124"/>
      <c r="C15" s="124" t="s">
        <v>93</v>
      </c>
      <c r="D15" s="124"/>
      <c r="E15" s="124"/>
      <c r="F15" s="124"/>
      <c r="G15" s="124"/>
      <c r="H15" s="85"/>
      <c r="K15" s="84"/>
    </row>
    <row r="16" spans="1:19" s="77" customFormat="1" ht="20.100000000000001" customHeight="1">
      <c r="A16" s="124" t="s">
        <v>94</v>
      </c>
      <c r="B16" s="124"/>
      <c r="C16" s="124" t="s">
        <v>95</v>
      </c>
      <c r="D16" s="124"/>
      <c r="E16" s="124"/>
      <c r="F16" s="124"/>
      <c r="G16" s="124"/>
      <c r="H16" s="85"/>
      <c r="K16" s="84"/>
    </row>
    <row r="17" spans="1:19" s="77" customFormat="1" ht="20.100000000000001" customHeight="1">
      <c r="A17" s="124" t="s">
        <v>96</v>
      </c>
      <c r="B17" s="124"/>
      <c r="C17" s="124" t="s">
        <v>99</v>
      </c>
      <c r="D17" s="124"/>
      <c r="E17" s="124"/>
      <c r="F17" s="124"/>
      <c r="G17" s="124"/>
      <c r="H17" s="85"/>
      <c r="K17" s="84"/>
    </row>
    <row r="18" spans="1:19" s="85" customFormat="1" ht="20.100000000000001" customHeight="1">
      <c r="A18" s="124" t="s">
        <v>98</v>
      </c>
      <c r="B18" s="124"/>
      <c r="C18" s="124" t="s">
        <v>97</v>
      </c>
      <c r="D18" s="124"/>
      <c r="E18" s="124"/>
      <c r="F18" s="124"/>
      <c r="G18" s="124"/>
    </row>
    <row r="19" spans="1:19" s="85" customFormat="1" ht="20.100000000000001" customHeight="1">
      <c r="A19" s="124" t="s">
        <v>100</v>
      </c>
      <c r="B19" s="124"/>
      <c r="C19" s="124" t="s">
        <v>104</v>
      </c>
      <c r="D19" s="124"/>
      <c r="E19" s="124"/>
      <c r="F19" s="124"/>
      <c r="G19" s="124"/>
    </row>
    <row r="20" spans="1:19" s="85" customFormat="1" ht="20.100000000000001" customHeight="1">
      <c r="A20" s="124" t="s">
        <v>101</v>
      </c>
      <c r="B20" s="124"/>
      <c r="C20" s="124" t="s">
        <v>105</v>
      </c>
      <c r="D20" s="124"/>
      <c r="E20" s="124"/>
      <c r="F20" s="124"/>
      <c r="G20" s="124"/>
    </row>
    <row r="21" spans="1:19" s="85" customFormat="1" ht="20.100000000000001" customHeight="1">
      <c r="A21" s="124" t="s">
        <v>102</v>
      </c>
      <c r="B21" s="124"/>
      <c r="C21" s="124" t="s">
        <v>106</v>
      </c>
      <c r="D21" s="124"/>
      <c r="E21" s="124"/>
      <c r="F21" s="124"/>
      <c r="G21" s="124"/>
    </row>
    <row r="22" spans="1:19" s="85" customFormat="1" ht="20.100000000000001" customHeight="1">
      <c r="A22" s="124" t="s">
        <v>103</v>
      </c>
      <c r="B22" s="124"/>
      <c r="C22" s="124" t="s">
        <v>107</v>
      </c>
      <c r="D22" s="124"/>
      <c r="E22" s="124"/>
      <c r="F22" s="124"/>
      <c r="G22" s="124"/>
    </row>
    <row r="23" spans="1:19" s="77" customFormat="1" ht="20.100000000000001" customHeight="1">
      <c r="A23" s="72"/>
      <c r="B23" s="72"/>
      <c r="C23" s="72"/>
      <c r="D23" s="72"/>
      <c r="E23" s="72"/>
      <c r="F23" s="86"/>
      <c r="G23" s="86"/>
      <c r="H23" s="86"/>
      <c r="K23" s="84"/>
    </row>
    <row r="24" spans="1:19" s="77" customFormat="1" ht="31.5" customHeight="1">
      <c r="A24" s="125" t="s">
        <v>108</v>
      </c>
      <c r="B24" s="125"/>
      <c r="C24" s="125"/>
      <c r="D24" s="125"/>
      <c r="E24" s="125"/>
      <c r="F24" s="125"/>
      <c r="G24" s="125"/>
      <c r="H24" s="125"/>
      <c r="K24" s="84"/>
    </row>
    <row r="25" spans="1:19" s="70" customFormat="1" ht="20.100000000000001" customHeight="1">
      <c r="A25" s="127" t="s">
        <v>110</v>
      </c>
      <c r="B25" s="127"/>
      <c r="C25" s="127"/>
      <c r="D25" s="127"/>
      <c r="E25" s="127"/>
      <c r="F25" s="87"/>
      <c r="G25" s="87"/>
      <c r="H25" s="87"/>
      <c r="K25" s="88"/>
    </row>
    <row r="26" spans="1:19" s="77" customFormat="1" ht="27" customHeight="1">
      <c r="A26" s="72"/>
      <c r="B26" s="72"/>
      <c r="C26" s="72"/>
      <c r="D26" s="72"/>
      <c r="E26" s="72"/>
      <c r="F26" s="86"/>
      <c r="G26" s="86"/>
      <c r="H26" s="86"/>
      <c r="K26" s="84"/>
      <c r="L26" s="89"/>
      <c r="M26" s="89"/>
      <c r="N26" s="90"/>
      <c r="O26" s="90"/>
      <c r="P26" s="89"/>
      <c r="Q26" s="89"/>
      <c r="R26" s="89"/>
      <c r="S26" s="89"/>
    </row>
    <row r="27" spans="1:19" s="89" customFormat="1" ht="19.5" customHeight="1">
      <c r="A27" s="120" t="s">
        <v>109</v>
      </c>
      <c r="B27" s="120"/>
      <c r="C27" s="120"/>
      <c r="D27" s="120"/>
      <c r="E27" s="120"/>
      <c r="F27" s="120"/>
      <c r="G27" s="120"/>
      <c r="H27" s="120"/>
      <c r="N27" s="90"/>
      <c r="O27" s="90"/>
    </row>
    <row r="28" spans="1:19" s="89" customFormat="1" ht="53.25" customHeight="1">
      <c r="A28" s="121" t="s">
        <v>111</v>
      </c>
      <c r="B28" s="121"/>
      <c r="C28" s="121"/>
      <c r="D28" s="121"/>
      <c r="E28" s="121"/>
      <c r="F28" s="121"/>
      <c r="G28" s="121"/>
      <c r="H28" s="121"/>
      <c r="N28" s="90"/>
      <c r="O28" s="90"/>
    </row>
    <row r="29" spans="1:19" s="89" customFormat="1" ht="24" customHeight="1" thickBot="1">
      <c r="A29" s="91"/>
      <c r="B29" s="91"/>
      <c r="C29" s="91"/>
      <c r="D29" s="91"/>
      <c r="E29" s="91"/>
      <c r="F29" s="91"/>
      <c r="G29" s="91"/>
      <c r="H29" s="91"/>
      <c r="N29" s="90"/>
      <c r="O29" s="90"/>
    </row>
    <row r="30" spans="1:19" s="89" customFormat="1" ht="19.5" customHeight="1">
      <c r="A30" s="118" t="s">
        <v>18</v>
      </c>
      <c r="B30" s="118"/>
      <c r="C30" s="118"/>
      <c r="D30" s="118"/>
      <c r="E30" s="118" t="s">
        <v>19</v>
      </c>
      <c r="F30" s="118"/>
      <c r="G30" s="118"/>
      <c r="H30" s="118"/>
      <c r="L30" s="57"/>
      <c r="M30" s="57"/>
      <c r="N30" s="60"/>
      <c r="O30" s="60"/>
      <c r="P30" s="57"/>
      <c r="Q30" s="57"/>
      <c r="R30" s="57"/>
      <c r="S30" s="57"/>
    </row>
    <row r="31" spans="1:19">
      <c r="A31" s="93" t="s">
        <v>20</v>
      </c>
      <c r="C31" s="94"/>
      <c r="D31" s="95"/>
      <c r="E31" s="117" t="s">
        <v>21</v>
      </c>
      <c r="F31" s="117"/>
      <c r="G31" s="117"/>
      <c r="H31" s="117"/>
    </row>
    <row r="32" spans="1:19">
      <c r="A32" s="117" t="s">
        <v>22</v>
      </c>
      <c r="B32" s="117"/>
      <c r="C32" s="117"/>
      <c r="D32" s="117"/>
      <c r="E32" s="117" t="s">
        <v>23</v>
      </c>
      <c r="F32" s="117"/>
      <c r="G32" s="117"/>
      <c r="H32" s="117"/>
    </row>
    <row r="33" spans="1:8">
      <c r="A33" s="117" t="s">
        <v>24</v>
      </c>
      <c r="B33" s="117"/>
      <c r="C33" s="117"/>
      <c r="D33" s="117"/>
      <c r="E33" s="117" t="s">
        <v>25</v>
      </c>
      <c r="F33" s="117"/>
      <c r="G33" s="117"/>
      <c r="H33" s="117"/>
    </row>
    <row r="34" spans="1:8">
      <c r="A34" s="55"/>
      <c r="F34" s="55"/>
      <c r="H34" s="92"/>
    </row>
    <row r="35" spans="1:8">
      <c r="A35" s="63"/>
    </row>
  </sheetData>
  <mergeCells count="43">
    <mergeCell ref="A22:B22"/>
    <mergeCell ref="C22:G22"/>
    <mergeCell ref="A19:B19"/>
    <mergeCell ref="C19:G19"/>
    <mergeCell ref="A20:B20"/>
    <mergeCell ref="C20:G20"/>
    <mergeCell ref="A21:B21"/>
    <mergeCell ref="C21:G21"/>
    <mergeCell ref="L9:S10"/>
    <mergeCell ref="F7:H8"/>
    <mergeCell ref="F1:H1"/>
    <mergeCell ref="B7:D7"/>
    <mergeCell ref="B8:D8"/>
    <mergeCell ref="A9:H9"/>
    <mergeCell ref="B10:C10"/>
    <mergeCell ref="G2:H2"/>
    <mergeCell ref="G3:H3"/>
    <mergeCell ref="G4:H4"/>
    <mergeCell ref="G5:H5"/>
    <mergeCell ref="B6:D6"/>
    <mergeCell ref="B11:C11"/>
    <mergeCell ref="A27:H27"/>
    <mergeCell ref="A28:H28"/>
    <mergeCell ref="G12:G13"/>
    <mergeCell ref="H12:H13"/>
    <mergeCell ref="A15:B15"/>
    <mergeCell ref="A16:B16"/>
    <mergeCell ref="A17:B17"/>
    <mergeCell ref="A18:B18"/>
    <mergeCell ref="A24:H24"/>
    <mergeCell ref="A14:H14"/>
    <mergeCell ref="C15:G15"/>
    <mergeCell ref="C16:G16"/>
    <mergeCell ref="C17:G17"/>
    <mergeCell ref="C18:G18"/>
    <mergeCell ref="A25:E25"/>
    <mergeCell ref="E33:H33"/>
    <mergeCell ref="A32:D32"/>
    <mergeCell ref="A33:D33"/>
    <mergeCell ref="A30:D30"/>
    <mergeCell ref="E30:H30"/>
    <mergeCell ref="E31:H31"/>
    <mergeCell ref="E32:H32"/>
  </mergeCells>
  <phoneticPr fontId="15" type="noConversion"/>
  <hyperlinks>
    <hyperlink ref="A4" r:id="rId1" display="www.alustars.com" xr:uid="{00000000-0004-0000-0000-000000000000}"/>
  </hyperlinks>
  <printOptions horizontalCentered="1"/>
  <pageMargins left="0.59055118110236227" right="0.59055118110236227" top="0.35433070866141736" bottom="0.31496062992125984" header="0.35433070866141736" footer="0.31496062992125984"/>
  <pageSetup paperSize="9" scale="88" orientation="portrait" r:id="rId2"/>
  <headerFooter scaleWithDoc="0"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4"/>
  <sheetViews>
    <sheetView view="pageBreakPreview" topLeftCell="A11" zoomScaleNormal="115" workbookViewId="0">
      <selection activeCell="A27" sqref="A27:G27"/>
    </sheetView>
  </sheetViews>
  <sheetFormatPr defaultColWidth="9" defaultRowHeight="15.6"/>
  <cols>
    <col min="1" max="1" width="12.21875" style="7" customWidth="1"/>
    <col min="2" max="2" width="7" style="8" customWidth="1"/>
    <col min="3" max="3" width="12.6640625" style="8" customWidth="1"/>
    <col min="4" max="4" width="21.88671875" style="8" customWidth="1"/>
    <col min="5" max="5" width="10.88671875" style="8" customWidth="1"/>
    <col min="6" max="6" width="9.6640625" style="9" customWidth="1"/>
    <col min="7" max="7" width="14.109375" style="10" customWidth="1"/>
    <col min="8" max="8" width="15.88671875" style="8" customWidth="1"/>
    <col min="9" max="9" width="13.44140625" style="8" customWidth="1"/>
    <col min="10" max="10" width="11.33203125" style="8" customWidth="1"/>
    <col min="11" max="11" width="9" style="8"/>
    <col min="12" max="12" width="9.33203125" style="8" customWidth="1"/>
    <col min="13" max="13" width="9" style="11"/>
    <col min="14" max="14" width="11.33203125" style="11" customWidth="1"/>
    <col min="15" max="15" width="39.88671875" style="8" customWidth="1"/>
    <col min="16" max="16384" width="9" style="8"/>
  </cols>
  <sheetData>
    <row r="1" spans="1:15" s="1" customFormat="1" ht="17.25" customHeight="1">
      <c r="A1" s="137" t="s">
        <v>26</v>
      </c>
      <c r="B1" s="137"/>
      <c r="C1" s="137"/>
      <c r="D1" s="137"/>
      <c r="E1" s="137"/>
      <c r="F1" s="137"/>
      <c r="G1" s="137"/>
      <c r="M1" s="45"/>
      <c r="N1" s="45"/>
    </row>
    <row r="2" spans="1:15" ht="13.5" customHeight="1">
      <c r="F2" s="12" t="s">
        <v>27</v>
      </c>
      <c r="G2" s="13" t="s">
        <v>1</v>
      </c>
      <c r="H2" s="8" t="s">
        <v>1</v>
      </c>
    </row>
    <row r="3" spans="1:15" ht="15" customHeight="1">
      <c r="F3" s="12" t="s">
        <v>28</v>
      </c>
      <c r="G3" s="13" t="s">
        <v>29</v>
      </c>
    </row>
    <row r="4" spans="1:15">
      <c r="A4" s="14" t="s">
        <v>30</v>
      </c>
      <c r="B4" s="15" t="s">
        <v>31</v>
      </c>
      <c r="C4" s="15"/>
      <c r="D4" s="15"/>
      <c r="F4" s="15"/>
      <c r="G4" s="16"/>
      <c r="H4" s="9"/>
    </row>
    <row r="5" spans="1:15" s="2" customFormat="1" ht="33" customHeight="1">
      <c r="A5" s="17"/>
      <c r="B5" s="138" t="s">
        <v>32</v>
      </c>
      <c r="C5" s="138"/>
      <c r="D5" s="138"/>
      <c r="E5" s="138"/>
      <c r="F5" s="138"/>
      <c r="G5" s="138"/>
      <c r="H5" s="18"/>
      <c r="M5" s="46"/>
      <c r="N5" s="46"/>
    </row>
    <row r="6" spans="1:15" s="2" customFormat="1" ht="5.25" customHeight="1">
      <c r="A6" s="17"/>
      <c r="B6" s="19"/>
      <c r="C6" s="19"/>
      <c r="D6" s="19"/>
      <c r="E6" s="19"/>
      <c r="F6" s="19"/>
      <c r="G6" s="19"/>
      <c r="M6" s="46"/>
      <c r="N6" s="46"/>
    </row>
    <row r="7" spans="1:15" s="2" customFormat="1">
      <c r="A7" s="14" t="s">
        <v>33</v>
      </c>
      <c r="B7" s="139" t="s">
        <v>2</v>
      </c>
      <c r="C7" s="139"/>
      <c r="D7" s="139"/>
      <c r="E7" s="139"/>
      <c r="F7" s="139"/>
      <c r="G7" s="20"/>
      <c r="M7" s="46"/>
      <c r="N7" s="46"/>
    </row>
    <row r="8" spans="1:15" s="2" customFormat="1" ht="54" customHeight="1">
      <c r="A8" s="17"/>
      <c r="B8" s="140" t="s">
        <v>34</v>
      </c>
      <c r="C8" s="140"/>
      <c r="D8" s="140"/>
      <c r="E8" s="140"/>
      <c r="F8" s="140"/>
      <c r="G8" s="140"/>
      <c r="M8" s="46"/>
      <c r="N8" s="46"/>
    </row>
    <row r="9" spans="1:15" s="2" customFormat="1" ht="6" customHeight="1">
      <c r="A9" s="17"/>
      <c r="B9" s="21"/>
      <c r="C9" s="21"/>
      <c r="D9" s="21"/>
      <c r="E9" s="21"/>
      <c r="F9" s="21"/>
      <c r="G9" s="21"/>
      <c r="M9" s="46"/>
      <c r="N9" s="46"/>
    </row>
    <row r="10" spans="1:15" s="3" customFormat="1" ht="49.5" customHeight="1">
      <c r="A10" s="141" t="s">
        <v>35</v>
      </c>
      <c r="B10" s="141"/>
      <c r="C10" s="141"/>
      <c r="D10" s="141"/>
      <c r="E10" s="141"/>
      <c r="F10" s="141"/>
      <c r="G10" s="141"/>
      <c r="M10" s="4"/>
      <c r="N10" s="4"/>
    </row>
    <row r="11" spans="1:15" s="3" customFormat="1" ht="27" customHeight="1">
      <c r="A11" s="142" t="s">
        <v>36</v>
      </c>
      <c r="B11" s="142"/>
      <c r="C11" s="142"/>
      <c r="D11" s="142"/>
      <c r="E11" s="142"/>
      <c r="F11" s="142"/>
      <c r="G11" s="142"/>
      <c r="M11" s="4"/>
      <c r="N11" s="4"/>
    </row>
    <row r="12" spans="1:15" s="4" customFormat="1" ht="30.75" customHeight="1">
      <c r="A12" s="22" t="s">
        <v>37</v>
      </c>
      <c r="B12" s="143" t="s">
        <v>4</v>
      </c>
      <c r="C12" s="144"/>
      <c r="D12" s="23" t="s">
        <v>5</v>
      </c>
      <c r="E12" s="24" t="s">
        <v>6</v>
      </c>
      <c r="F12" s="24" t="s">
        <v>38</v>
      </c>
      <c r="G12" s="24" t="s">
        <v>39</v>
      </c>
      <c r="L12" s="47"/>
      <c r="M12" s="48"/>
      <c r="N12" s="49"/>
      <c r="O12" s="155"/>
    </row>
    <row r="13" spans="1:15" s="3" customFormat="1" ht="18" customHeight="1">
      <c r="A13" s="25">
        <v>1</v>
      </c>
      <c r="B13" s="145">
        <v>50655</v>
      </c>
      <c r="C13" s="146"/>
      <c r="D13" s="26" t="s">
        <v>7</v>
      </c>
      <c r="E13" s="27">
        <v>1000</v>
      </c>
      <c r="F13" s="28">
        <v>15.35</v>
      </c>
      <c r="G13" s="28">
        <f t="shared" ref="G13:G18" si="0">F13*E13</f>
        <v>15350</v>
      </c>
      <c r="J13" s="51"/>
      <c r="M13" s="4"/>
      <c r="N13" s="4"/>
      <c r="O13" s="155"/>
    </row>
    <row r="14" spans="1:15" s="3" customFormat="1" ht="18" customHeight="1">
      <c r="A14" s="25">
        <v>2</v>
      </c>
      <c r="B14" s="145">
        <v>50755</v>
      </c>
      <c r="C14" s="146"/>
      <c r="D14" s="26" t="s">
        <v>8</v>
      </c>
      <c r="E14" s="27">
        <v>1000</v>
      </c>
      <c r="F14" s="29">
        <v>15.35</v>
      </c>
      <c r="G14" s="28">
        <f t="shared" si="0"/>
        <v>15350</v>
      </c>
      <c r="J14" s="51"/>
      <c r="M14" s="4"/>
      <c r="N14" s="4"/>
      <c r="O14" s="50"/>
    </row>
    <row r="15" spans="1:15" s="3" customFormat="1" ht="18" customHeight="1">
      <c r="A15" s="25">
        <v>3</v>
      </c>
      <c r="B15" s="145">
        <v>50665</v>
      </c>
      <c r="C15" s="146"/>
      <c r="D15" s="26" t="s">
        <v>9</v>
      </c>
      <c r="E15" s="27">
        <v>1000</v>
      </c>
      <c r="F15" s="29">
        <v>3.58</v>
      </c>
      <c r="G15" s="28">
        <f t="shared" si="0"/>
        <v>3580</v>
      </c>
      <c r="J15" s="51"/>
      <c r="M15" s="4"/>
      <c r="N15" s="4"/>
      <c r="O15" s="50"/>
    </row>
    <row r="16" spans="1:15" s="3" customFormat="1" ht="18" customHeight="1">
      <c r="A16" s="25">
        <v>4</v>
      </c>
      <c r="B16" s="145">
        <v>50765</v>
      </c>
      <c r="C16" s="146"/>
      <c r="D16" s="26" t="s">
        <v>10</v>
      </c>
      <c r="E16" s="27">
        <v>1000</v>
      </c>
      <c r="F16" s="29">
        <v>3.58</v>
      </c>
      <c r="G16" s="28">
        <f t="shared" si="0"/>
        <v>3580</v>
      </c>
      <c r="J16" s="51"/>
      <c r="M16" s="4"/>
      <c r="N16" s="4"/>
      <c r="O16" s="50"/>
    </row>
    <row r="17" spans="1:15" s="3" customFormat="1" ht="18" customHeight="1">
      <c r="A17" s="25">
        <v>5</v>
      </c>
      <c r="B17" s="145">
        <v>50720</v>
      </c>
      <c r="C17" s="146"/>
      <c r="D17" s="26" t="s">
        <v>11</v>
      </c>
      <c r="E17" s="27">
        <v>1000</v>
      </c>
      <c r="F17" s="29">
        <v>17.63</v>
      </c>
      <c r="G17" s="28">
        <f t="shared" si="0"/>
        <v>17630</v>
      </c>
      <c r="J17" s="51"/>
      <c r="M17" s="4"/>
      <c r="N17" s="4"/>
      <c r="O17" s="50"/>
    </row>
    <row r="18" spans="1:15" s="3" customFormat="1" ht="18" customHeight="1">
      <c r="A18" s="30">
        <v>6</v>
      </c>
      <c r="B18" s="145">
        <v>50730</v>
      </c>
      <c r="C18" s="146"/>
      <c r="D18" s="31" t="s">
        <v>12</v>
      </c>
      <c r="E18" s="27">
        <v>1000</v>
      </c>
      <c r="F18" s="28">
        <v>17.63</v>
      </c>
      <c r="G18" s="28">
        <f t="shared" si="0"/>
        <v>17630</v>
      </c>
      <c r="J18" s="51"/>
      <c r="M18" s="4"/>
      <c r="N18" s="4"/>
      <c r="O18" s="50"/>
    </row>
    <row r="19" spans="1:15" s="4" customFormat="1" ht="16.5" customHeight="1">
      <c r="A19" s="156" t="s">
        <v>13</v>
      </c>
      <c r="B19" s="157"/>
      <c r="C19" s="158"/>
      <c r="D19" s="32"/>
      <c r="E19" s="149">
        <f>SUM(E13:E18)</f>
        <v>6000</v>
      </c>
      <c r="F19" s="151"/>
      <c r="G19" s="153">
        <f>SUM(G13:G18)</f>
        <v>73120</v>
      </c>
      <c r="H19" s="33"/>
    </row>
    <row r="20" spans="1:15" s="4" customFormat="1" ht="13.5" customHeight="1">
      <c r="A20" s="159"/>
      <c r="B20" s="160"/>
      <c r="C20" s="161"/>
      <c r="D20" s="34"/>
      <c r="E20" s="150"/>
      <c r="F20" s="152"/>
      <c r="G20" s="154"/>
    </row>
    <row r="21" spans="1:15" s="4" customFormat="1" ht="30" hidden="1" customHeight="1">
      <c r="A21" s="147" t="s">
        <v>40</v>
      </c>
      <c r="B21" s="147"/>
      <c r="C21" s="147"/>
      <c r="D21" s="147"/>
      <c r="E21" s="147"/>
      <c r="F21" s="147"/>
      <c r="G21" s="147"/>
      <c r="J21" s="52"/>
    </row>
    <row r="22" spans="1:15" s="4" customFormat="1" ht="30" customHeight="1">
      <c r="A22" s="148" t="s">
        <v>41</v>
      </c>
      <c r="B22" s="148"/>
      <c r="C22" s="148"/>
      <c r="D22" s="148"/>
      <c r="E22" s="148"/>
      <c r="F22" s="148"/>
      <c r="G22" s="148"/>
      <c r="J22" s="52"/>
    </row>
    <row r="23" spans="1:15" s="4" customFormat="1" ht="21.75" customHeight="1">
      <c r="A23" s="36" t="s">
        <v>15</v>
      </c>
      <c r="B23" s="35"/>
      <c r="C23" s="35"/>
      <c r="D23" s="35"/>
      <c r="E23" s="35"/>
      <c r="F23" s="35"/>
      <c r="G23" s="35"/>
      <c r="J23" s="52"/>
    </row>
    <row r="24" spans="1:15" s="4" customFormat="1" ht="21.75" customHeight="1">
      <c r="A24" s="36" t="s">
        <v>16</v>
      </c>
      <c r="B24" s="35"/>
      <c r="C24" s="35"/>
      <c r="D24" s="35"/>
      <c r="E24" s="35"/>
      <c r="F24" s="35"/>
      <c r="G24" s="35"/>
      <c r="J24" s="52"/>
    </row>
    <row r="25" spans="1:15" s="4" customFormat="1" ht="21.75" customHeight="1">
      <c r="A25" s="36" t="s">
        <v>17</v>
      </c>
      <c r="B25" s="35"/>
      <c r="C25" s="35"/>
      <c r="D25" s="35"/>
      <c r="E25" s="35"/>
      <c r="F25" s="35"/>
      <c r="G25" s="35"/>
      <c r="J25" s="52"/>
    </row>
    <row r="26" spans="1:15" s="4" customFormat="1" ht="1.5" customHeight="1">
      <c r="A26" s="35"/>
      <c r="B26" s="35"/>
      <c r="C26" s="35"/>
      <c r="D26" s="35"/>
      <c r="E26" s="35"/>
      <c r="F26" s="35"/>
      <c r="G26" s="35"/>
      <c r="J26" s="52"/>
    </row>
    <row r="27" spans="1:15" s="4" customFormat="1" ht="30" customHeight="1">
      <c r="A27" s="148" t="s">
        <v>42</v>
      </c>
      <c r="B27" s="148"/>
      <c r="C27" s="148"/>
      <c r="D27" s="148"/>
      <c r="E27" s="148"/>
      <c r="F27" s="148"/>
      <c r="G27" s="148"/>
      <c r="J27" s="52"/>
    </row>
    <row r="28" spans="1:15" s="5" customFormat="1" ht="19.5" customHeight="1">
      <c r="A28" s="36" t="s">
        <v>43</v>
      </c>
      <c r="C28" s="36"/>
      <c r="D28" s="36"/>
      <c r="G28" s="36"/>
      <c r="M28" s="53"/>
      <c r="N28" s="53"/>
    </row>
    <row r="29" spans="1:15" s="5" customFormat="1" ht="19.5" customHeight="1">
      <c r="A29" s="36" t="s">
        <v>44</v>
      </c>
      <c r="C29" s="36"/>
      <c r="D29" s="36"/>
      <c r="G29" s="18"/>
      <c r="M29" s="53"/>
      <c r="N29" s="53"/>
    </row>
    <row r="30" spans="1:15" s="6" customFormat="1" ht="19.5" customHeight="1">
      <c r="A30" s="36" t="s">
        <v>45</v>
      </c>
      <c r="C30" s="37"/>
      <c r="D30" s="37"/>
      <c r="G30" s="38"/>
      <c r="M30" s="54"/>
      <c r="N30" s="54"/>
    </row>
    <row r="31" spans="1:15" s="6" customFormat="1" ht="19.5" customHeight="1">
      <c r="A31" s="36" t="s">
        <v>46</v>
      </c>
      <c r="C31" s="36"/>
      <c r="D31" s="36"/>
      <c r="G31" s="36"/>
      <c r="M31" s="54"/>
      <c r="N31" s="54"/>
    </row>
    <row r="32" spans="1:15" s="6" customFormat="1" ht="19.5" customHeight="1">
      <c r="A32" s="36" t="s">
        <v>47</v>
      </c>
      <c r="C32" s="36"/>
      <c r="D32" s="36"/>
      <c r="G32" s="36"/>
      <c r="M32" s="54"/>
      <c r="N32" s="54"/>
    </row>
    <row r="33" spans="1:14" s="6" customFormat="1" ht="19.5" customHeight="1">
      <c r="A33" s="36" t="s">
        <v>48</v>
      </c>
      <c r="C33" s="36"/>
      <c r="D33" s="36"/>
      <c r="G33" s="36"/>
      <c r="M33" s="54"/>
      <c r="N33" s="54"/>
    </row>
    <row r="34" spans="1:14" s="4" customFormat="1" ht="30" customHeight="1">
      <c r="A34" s="148" t="s">
        <v>49</v>
      </c>
      <c r="B34" s="148"/>
      <c r="C34" s="148"/>
      <c r="D34" s="148"/>
      <c r="E34" s="148"/>
      <c r="F34" s="148"/>
      <c r="G34" s="148"/>
      <c r="J34" s="52"/>
    </row>
    <row r="35" spans="1:14" s="5" customFormat="1" ht="19.5" customHeight="1">
      <c r="A35" s="36" t="s">
        <v>50</v>
      </c>
      <c r="C35" s="36"/>
      <c r="D35" s="36"/>
      <c r="G35" s="36"/>
      <c r="M35" s="53"/>
      <c r="N35" s="53"/>
    </row>
    <row r="36" spans="1:14" s="5" customFormat="1" ht="19.5" customHeight="1">
      <c r="A36" s="36" t="s">
        <v>51</v>
      </c>
      <c r="C36" s="36"/>
      <c r="D36" s="36"/>
      <c r="G36" s="18"/>
      <c r="M36" s="53"/>
      <c r="N36" s="53"/>
    </row>
    <row r="37" spans="1:14" s="4" customFormat="1" ht="30" customHeight="1">
      <c r="A37" s="148" t="s">
        <v>52</v>
      </c>
      <c r="B37" s="148"/>
      <c r="C37" s="148"/>
      <c r="D37" s="148"/>
      <c r="E37" s="148"/>
      <c r="F37" s="148"/>
      <c r="G37" s="148"/>
      <c r="J37" s="52"/>
    </row>
    <row r="38" spans="1:14" s="6" customFormat="1" ht="19.5" customHeight="1">
      <c r="A38" s="36" t="s">
        <v>53</v>
      </c>
      <c r="C38" s="36"/>
      <c r="D38" s="36"/>
      <c r="G38" s="36"/>
      <c r="M38" s="54"/>
      <c r="N38" s="54"/>
    </row>
    <row r="39" spans="1:14" s="6" customFormat="1" ht="19.5" customHeight="1">
      <c r="A39" s="36" t="s">
        <v>54</v>
      </c>
      <c r="C39" s="36"/>
      <c r="D39" s="36"/>
      <c r="G39" s="36"/>
      <c r="M39" s="54"/>
      <c r="N39" s="54"/>
    </row>
    <row r="40" spans="1:14" s="4" customFormat="1" ht="30" customHeight="1">
      <c r="A40" s="148" t="s">
        <v>55</v>
      </c>
      <c r="B40" s="148"/>
      <c r="C40" s="148"/>
      <c r="D40" s="148"/>
      <c r="E40" s="148"/>
      <c r="F40" s="148"/>
      <c r="G40" s="148"/>
      <c r="J40" s="52"/>
    </row>
    <row r="41" spans="1:14" s="6" customFormat="1" ht="19.5" customHeight="1">
      <c r="A41" s="166" t="s">
        <v>56</v>
      </c>
      <c r="B41" s="166"/>
      <c r="C41" s="166"/>
      <c r="D41" s="166"/>
      <c r="E41" s="166"/>
      <c r="F41" s="166"/>
      <c r="G41" s="166"/>
      <c r="M41" s="54"/>
      <c r="N41" s="54"/>
    </row>
    <row r="42" spans="1:14" s="6" customFormat="1" ht="44.25" customHeight="1">
      <c r="A42" s="162" t="s">
        <v>57</v>
      </c>
      <c r="B42" s="162"/>
      <c r="C42" s="162"/>
      <c r="D42" s="162"/>
      <c r="E42" s="162"/>
      <c r="F42" s="162"/>
      <c r="G42" s="162"/>
      <c r="M42" s="54"/>
      <c r="N42" s="54"/>
    </row>
    <row r="43" spans="1:14" s="4" customFormat="1" ht="7.5" customHeight="1">
      <c r="A43" s="35"/>
      <c r="B43" s="35"/>
      <c r="C43" s="35"/>
      <c r="D43" s="35"/>
      <c r="E43" s="35"/>
      <c r="F43" s="35"/>
      <c r="G43" s="35"/>
      <c r="J43" s="52"/>
    </row>
    <row r="44" spans="1:14" s="4" customFormat="1" ht="30" customHeight="1">
      <c r="A44" s="148" t="s">
        <v>58</v>
      </c>
      <c r="B44" s="148"/>
      <c r="C44" s="148"/>
      <c r="D44" s="148"/>
      <c r="E44" s="148"/>
      <c r="F44" s="148"/>
      <c r="G44" s="148"/>
      <c r="J44" s="52"/>
    </row>
    <row r="45" spans="1:14" s="6" customFormat="1" ht="58.5" customHeight="1">
      <c r="A45" s="163" t="s">
        <v>59</v>
      </c>
      <c r="B45" s="164"/>
      <c r="C45" s="164"/>
      <c r="D45" s="164"/>
      <c r="E45" s="164"/>
      <c r="F45" s="164"/>
      <c r="G45" s="164"/>
      <c r="M45" s="54"/>
      <c r="N45" s="54"/>
    </row>
    <row r="46" spans="1:14" s="4" customFormat="1" ht="7.5" customHeight="1">
      <c r="A46" s="35"/>
      <c r="B46" s="35"/>
      <c r="C46" s="35"/>
      <c r="D46" s="35"/>
      <c r="E46" s="35"/>
      <c r="F46" s="35"/>
      <c r="G46" s="35"/>
      <c r="J46" s="52"/>
    </row>
    <row r="47" spans="1:14" s="4" customFormat="1" ht="30" customHeight="1">
      <c r="A47" s="148" t="s">
        <v>60</v>
      </c>
      <c r="B47" s="148"/>
      <c r="C47" s="148"/>
      <c r="D47" s="148"/>
      <c r="E47" s="148"/>
      <c r="F47" s="148"/>
      <c r="G47" s="148"/>
      <c r="J47" s="52"/>
    </row>
    <row r="48" spans="1:14" s="6" customFormat="1" ht="46.5" customHeight="1">
      <c r="A48" s="165" t="s">
        <v>61</v>
      </c>
      <c r="B48" s="165"/>
      <c r="C48" s="165"/>
      <c r="D48" s="165"/>
      <c r="E48" s="165"/>
      <c r="F48" s="165"/>
      <c r="G48" s="165"/>
      <c r="M48" s="54"/>
      <c r="N48" s="54"/>
    </row>
    <row r="49" spans="1:14" s="6" customFormat="1" ht="19.5" customHeight="1">
      <c r="A49" s="36"/>
      <c r="C49" s="36"/>
      <c r="D49" s="36"/>
      <c r="G49" s="36"/>
      <c r="M49" s="54"/>
      <c r="N49" s="54"/>
    </row>
    <row r="50" spans="1:14" s="6" customFormat="1" ht="19.5" customHeight="1">
      <c r="A50" s="148" t="s">
        <v>62</v>
      </c>
      <c r="B50" s="148"/>
      <c r="C50" s="148"/>
      <c r="D50" s="148"/>
      <c r="E50" s="148"/>
      <c r="F50" s="148"/>
      <c r="G50" s="148"/>
      <c r="M50" s="54"/>
      <c r="N50" s="54"/>
    </row>
    <row r="51" spans="1:14" s="6" customFormat="1" ht="19.5" customHeight="1">
      <c r="A51" s="39" t="s">
        <v>63</v>
      </c>
      <c r="B51" s="39"/>
      <c r="C51" s="39"/>
      <c r="D51" s="39"/>
      <c r="E51" s="39" t="s">
        <v>64</v>
      </c>
      <c r="F51" s="39"/>
      <c r="G51" s="39"/>
      <c r="M51" s="54"/>
      <c r="N51" s="54"/>
    </row>
    <row r="52" spans="1:14" s="6" customFormat="1" ht="19.5" customHeight="1">
      <c r="A52" s="40" t="str">
        <f>B4</f>
        <v>CHONGQING ALUSTARS INTERNATIONAL CO.,LTD.</v>
      </c>
      <c r="B52" s="40"/>
      <c r="C52" s="40"/>
      <c r="E52" s="40" t="str">
        <f>B7</f>
        <v>Montesa Honda, S.A.U.</v>
      </c>
      <c r="F52" s="41"/>
      <c r="G52" s="42"/>
      <c r="M52" s="54"/>
      <c r="N52" s="54"/>
    </row>
    <row r="53" spans="1:14">
      <c r="A53" s="36" t="s">
        <v>65</v>
      </c>
      <c r="C53" s="43"/>
      <c r="D53" s="2"/>
      <c r="E53" s="36" t="s">
        <v>65</v>
      </c>
      <c r="G53" s="44"/>
    </row>
    <row r="54" spans="1:14">
      <c r="A54" s="36" t="s">
        <v>66</v>
      </c>
      <c r="E54" s="36" t="s">
        <v>66</v>
      </c>
    </row>
  </sheetData>
  <mergeCells count="31">
    <mergeCell ref="A50:G50"/>
    <mergeCell ref="E19:E20"/>
    <mergeCell ref="F19:F20"/>
    <mergeCell ref="G19:G20"/>
    <mergeCell ref="O12:O13"/>
    <mergeCell ref="A19:C20"/>
    <mergeCell ref="A42:G42"/>
    <mergeCell ref="A44:G44"/>
    <mergeCell ref="A45:G45"/>
    <mergeCell ref="A47:G47"/>
    <mergeCell ref="A48:G48"/>
    <mergeCell ref="A27:G27"/>
    <mergeCell ref="A34:G34"/>
    <mergeCell ref="A37:G37"/>
    <mergeCell ref="A40:G40"/>
    <mergeCell ref="A41:G41"/>
    <mergeCell ref="B16:C16"/>
    <mergeCell ref="B17:C17"/>
    <mergeCell ref="B18:C18"/>
    <mergeCell ref="A21:G21"/>
    <mergeCell ref="A22:G22"/>
    <mergeCell ref="A11:G11"/>
    <mergeCell ref="B12:C12"/>
    <mergeCell ref="B13:C13"/>
    <mergeCell ref="B14:C14"/>
    <mergeCell ref="B15:C15"/>
    <mergeCell ref="A1:G1"/>
    <mergeCell ref="B5:G5"/>
    <mergeCell ref="B7:F7"/>
    <mergeCell ref="B8:G8"/>
    <mergeCell ref="A10:G10"/>
  </mergeCells>
  <phoneticPr fontId="15" type="noConversion"/>
  <printOptions horizontalCentered="1"/>
  <pageMargins left="0.62992125984252001" right="0.62992125984252001" top="0.35433070866141703" bottom="0.31496062992126" header="0.35433070866141703" footer="0.31496062992126"/>
  <pageSetup paperSize="9" scale="94" orientation="portrait" r:id="rId1"/>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PI</vt:lpstr>
      <vt:lpstr>contract</vt:lpstr>
      <vt:lpstr>contract!Print_Area</vt:lpstr>
      <vt:lpstr>PI!Print_Area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2026-05-11T14:51:03Z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2052-11.1.0.9991</vt:lpwstr>
  </property>
</Properties>
</file>