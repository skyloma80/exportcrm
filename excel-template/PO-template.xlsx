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5A73E2B2-5D05-4E2A-8F74-D1D234C848C4}" xr6:coauthVersionLast="47" xr6:coauthVersionMax="47" xr10:uidLastSave="{00000000-0000-0000-0000-000000000000}"/>
  <bookViews>
    <workbookView xWindow="-108" yWindow="-108" windowWidth="23256" windowHeight="12456" tabRatio="813" xr2:uid="{00000000-000D-0000-FFFF-FFFF00000000}"/>
  </bookViews>
  <sheets>
    <sheet name="PO" sheetId="10"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PO!$A$1:$I$25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10" l="1"/>
  <c r="I14" i="10" s="1"/>
  <c r="I15" i="10" s="1"/>
  <c r="E52" i="8"/>
  <c r="A52" i="8"/>
  <c r="E19" i="8"/>
  <c r="G18" i="8"/>
  <c r="G17" i="8"/>
  <c r="G16" i="8"/>
  <c r="G19" i="8" s="1"/>
  <c r="G15" i="8"/>
  <c r="G14" i="8"/>
  <c r="G13" i="8"/>
</calcChain>
</file>

<file path=xl/sharedStrings.xml><?xml version="1.0" encoding="utf-8"?>
<sst xmlns="http://schemas.openxmlformats.org/spreadsheetml/2006/main" count="83" uniqueCount="77">
  <si>
    <t>VAT 91500109MADTT20C92</t>
  </si>
  <si>
    <t>www.alustars.com</t>
  </si>
  <si>
    <t>A2602-003</t>
  </si>
  <si>
    <t>Montesa Honda, S.A.U.</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</si>
  <si>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</si>
  <si>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</si>
  <si>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</si>
  <si>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</si>
  <si>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</si>
  <si>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</si>
  <si>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</si>
  <si>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</si>
  <si>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</si>
  <si>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</si>
  <si>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</si>
  <si>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</si>
  <si>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</si>
  <si>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</si>
  <si>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</si>
  <si>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</si>
  <si>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</si>
  <si>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</si>
  <si>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</si>
  <si>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</si>
  <si>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</si>
  <si>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</si>
  <si>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</si>
  <si>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</si>
  <si>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</si>
  <si>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</si>
  <si>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</si>
  <si>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</si>
  <si>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</si>
  <si>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</si>
  <si>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</si>
  <si>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</si>
  <si>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</si>
  <si>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</si>
  <si>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</si>
  <si>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</si>
  <si>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</si>
  <si>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</si>
  <si>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</si>
  <si>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</si>
  <si>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</si>
  <si>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</si>
  <si>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</si>
  <si>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</si>
  <si>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</si>
  <si>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</si>
  <si>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</si>
  <si>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</si>
  <si>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</si>
  <si>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</si>
  <si>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</si>
  <si>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</si>
  <si>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</si>
  <si>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</si>
  <si>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</si>
  <si>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 xml:space="preserve"> </t>
    <phoneticPr fontId="26" type="noConversion"/>
  </si>
  <si>
    <t>序号</t>
    <phoneticPr fontId="26" type="noConversion"/>
  </si>
  <si>
    <t>零件号</t>
    <phoneticPr fontId="26" type="noConversion"/>
  </si>
  <si>
    <r>
      <rPr>
        <sz val="10"/>
        <rFont val="DengXian"/>
        <family val="2"/>
        <charset val="134"/>
      </rPr>
      <t>合计</t>
    </r>
    <phoneticPr fontId="26" type="noConversion"/>
  </si>
  <si>
    <r>
      <rPr>
        <b/>
        <sz val="16"/>
        <rFont val="DengXian"/>
        <family val="2"/>
        <charset val="134"/>
      </rPr>
      <t>重庆星铝国际贸易有限公司</t>
    </r>
    <phoneticPr fontId="26" type="noConversion"/>
  </si>
  <si>
    <r>
      <rPr>
        <sz val="11"/>
        <rFont val="DengXian"/>
        <family val="2"/>
        <charset val="134"/>
      </rPr>
      <t>日期：</t>
    </r>
    <phoneticPr fontId="26" type="noConversion"/>
  </si>
  <si>
    <r>
      <rPr>
        <b/>
        <sz val="11"/>
        <color theme="4"/>
        <rFont val="DengXian"/>
        <family val="2"/>
        <charset val="134"/>
      </rPr>
      <t>产品描述</t>
    </r>
    <r>
      <rPr>
        <b/>
        <sz val="11"/>
        <color theme="4"/>
        <rFont val="Arial"/>
        <family val="2"/>
      </rPr>
      <t>(</t>
    </r>
    <r>
      <rPr>
        <b/>
        <sz val="11"/>
        <color theme="4"/>
        <rFont val="DengXian"/>
        <family val="2"/>
        <charset val="134"/>
      </rPr>
      <t>英文）</t>
    </r>
    <phoneticPr fontId="26" type="noConversion"/>
  </si>
  <si>
    <r>
      <rPr>
        <b/>
        <sz val="11"/>
        <color theme="4"/>
        <rFont val="DengXian"/>
        <family val="2"/>
        <charset val="134"/>
      </rPr>
      <t>产品描述</t>
    </r>
    <phoneticPr fontId="26" type="noConversion"/>
  </si>
  <si>
    <r>
      <rPr>
        <b/>
        <sz val="11"/>
        <color theme="4"/>
        <rFont val="DengXian"/>
        <family val="2"/>
        <charset val="134"/>
      </rPr>
      <t>数量</t>
    </r>
    <phoneticPr fontId="26" type="noConversion"/>
  </si>
  <si>
    <r>
      <rPr>
        <b/>
        <sz val="11"/>
        <color theme="4"/>
        <rFont val="DengXian"/>
        <family val="2"/>
        <charset val="134"/>
      </rPr>
      <t>单位</t>
    </r>
    <phoneticPr fontId="26" type="noConversion"/>
  </si>
  <si>
    <r>
      <rPr>
        <b/>
        <sz val="11"/>
        <color theme="4"/>
        <rFont val="DengXian"/>
        <family val="2"/>
        <charset val="134"/>
      </rPr>
      <t>单价</t>
    </r>
    <phoneticPr fontId="26" type="noConversion"/>
  </si>
  <si>
    <r>
      <rPr>
        <b/>
        <sz val="11"/>
        <color theme="4"/>
        <rFont val="DengXian"/>
        <family val="2"/>
        <charset val="134"/>
      </rPr>
      <t>金额</t>
    </r>
    <phoneticPr fontId="26" type="noConversion"/>
  </si>
  <si>
    <r>
      <rPr>
        <b/>
        <sz val="12"/>
        <rFont val="DengXian"/>
        <family val="2"/>
        <charset val="134"/>
      </rPr>
      <t>备注：</t>
    </r>
    <phoneticPr fontId="26" type="noConversion"/>
  </si>
  <si>
    <r>
      <rPr>
        <b/>
        <sz val="28"/>
        <rFont val="DengXian"/>
        <family val="2"/>
        <charset val="134"/>
      </rPr>
      <t>采购订单</t>
    </r>
    <phoneticPr fontId="26" type="noConversion"/>
  </si>
  <si>
    <r>
      <t xml:space="preserve">13% </t>
    </r>
    <r>
      <rPr>
        <sz val="10"/>
        <rFont val="DengXian"/>
        <family val="2"/>
        <charset val="134"/>
      </rPr>
      <t>增值税</t>
    </r>
    <phoneticPr fontId="26" type="noConversion"/>
  </si>
  <si>
    <r>
      <rPr>
        <sz val="10"/>
        <rFont val="DengXian"/>
        <family val="2"/>
        <charset val="134"/>
      </rPr>
      <t>小计</t>
    </r>
    <phoneticPr fontId="26" type="noConversion"/>
  </si>
  <si>
    <t>供应商：</t>
    <phoneticPr fontId="26" type="noConversion"/>
  </si>
  <si>
    <t>以上单价不含税，开票时付税金。</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</si>
</sst>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804]#,##0.00"/>
  </numFmts>
  <fonts count="36">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Arial"/>
      <family val="2"/>
    </font>
    <font>
      <sz val="11"/>
      <name val="Arial"/>
      <family val="2"/>
    </font>
    <font>
      <b/>
      <sz val="11"/>
      <color theme="4"/>
      <name val="Arial"/>
      <family val="2"/>
    </font>
    <font>
      <sz val="10"/>
      <name val="Arial"/>
      <family val="2"/>
    </font>
    <font>
      <b/>
      <sz val="16"/>
      <name val="Arial"/>
      <family val="2"/>
    </font>
    <font>
      <sz val="16"/>
      <color theme="5"/>
      <name val="Arial"/>
      <family val="2"/>
    </font>
    <font>
      <b/>
      <sz val="11"/>
      <name val="Arial"/>
      <family val="2"/>
    </font>
    <font>
      <b/>
      <sz val="12"/>
      <name val="Arial"/>
      <family val="2"/>
    </font>
    <font>
      <sz val="11"/>
      <color rgb="FF00B0F0"/>
      <name val="Arial"/>
      <family val="2"/>
    </font>
    <font>
      <sz val="12"/>
      <color theme="5"/>
      <name val="Arial"/>
      <family val="2"/>
    </font>
    <font>
      <strike/>
      <sz val="11"/>
      <name val="Arial"/>
      <family val="2"/>
    </font>
    <font>
      <sz val="12"/>
      <name val="宋体"/>
      <family val="3"/>
      <charset val="134"/>
    </font>
    <font>
      <sz val="11"/>
      <color theme="1"/>
      <name val="宋体"/>
      <family val="3"/>
      <charset val="134"/>
      <scheme val="minor"/>
    </font>
    <font>
      <sz val="9"/>
      <name val="宋体"/>
      <family val="3"/>
      <charset val="134"/>
      <scheme val="minor"/>
    </font>
    <font>
      <b/>
      <sz val="16"/>
      <name val="DengXian"/>
      <family val="2"/>
      <charset val="134"/>
    </font>
    <font>
      <sz val="11"/>
      <name val="DengXian"/>
      <family val="2"/>
      <charset val="134"/>
    </font>
    <font>
      <b/>
      <sz val="28"/>
      <name val="DengXian"/>
      <family val="2"/>
      <charset val="134"/>
    </font>
    <font>
      <b/>
      <sz val="28"/>
      <name val="Arial"/>
      <family val="2"/>
    </font>
    <font>
      <b/>
      <sz val="11"/>
      <name val="DengXian"/>
      <family val="2"/>
      <charset val="134"/>
    </font>
    <font>
      <b/>
      <sz val="11"/>
      <color theme="4"/>
      <name val="DengXian"/>
      <family val="2"/>
      <charset val="134"/>
    </font>
    <font>
      <sz val="10"/>
      <name val="DengXian"/>
      <family val="2"/>
      <charset val="134"/>
    </font>
    <font>
      <b/>
      <sz val="10"/>
      <name val="Arial"/>
      <family val="2"/>
    </font>
    <font>
      <b/>
      <sz val="12"/>
      <name val="DengXian"/>
      <family val="2"/>
      <charset val="134"/>
    </font>
  </fonts>
  <fills count="3">
    <fill>
      <patternFill patternType="none"/>
    </fill>
    <fill>
      <patternFill patternType="gray125"/>
    </fill>
    <fill>
      <patternFill patternType="solid">
        <fgColor theme="3" tint="0.79992065187536243"/>
        <bgColor indexed="64"/>
      </patternFill>
    </fill>
  </fills>
  <borders count="15">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s>
  <cellStyleXfs count="5">
    <xf numFmtId="0" fontId="0" fillId="0" borderId="0">
      <alignment vertical="center"/>
    </xf>
    <xf numFmtId="0" fontId="25" fillId="0" borderId="0">
      <alignment vertical="center"/>
    </xf>
    <xf numFmtId="43" fontId="24" fillId="0" borderId="0" applyFont="0" applyFill="0" applyBorder="0" applyAlignment="0" applyProtection="0">
      <alignment vertical="center"/>
    </xf>
    <xf numFmtId="0" fontId="24" fillId="0" borderId="0">
      <alignment vertical="center"/>
    </xf>
    <xf numFmtId="0" fontId="25" fillId="0" borderId="0">
      <alignment vertical="center"/>
    </xf>
  </cellStyleXfs>
  <cellXfs count="159">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3" fillId="0" borderId="0" xfId="3" applyFont="1">
      <alignment vertical="center"/>
    </xf>
    <xf numFmtId="43" fontId="14" fillId="0" borderId="0" xfId="2" applyFont="1" applyAlignment="1">
      <alignment vertical="center"/>
    </xf>
    <xf numFmtId="43" fontId="13" fillId="0" borderId="0" xfId="2" applyFont="1" applyBorder="1" applyAlignment="1">
      <alignment vertical="top"/>
    </xf>
    <xf numFmtId="43" fontId="14" fillId="0" borderId="0" xfId="2" applyFont="1" applyBorder="1" applyAlignment="1">
      <alignment vertical="center"/>
    </xf>
    <xf numFmtId="43" fontId="15" fillId="2" borderId="0" xfId="2" applyFont="1" applyFill="1" applyBorder="1" applyAlignment="1">
      <alignment horizontal="center" vertical="center"/>
    </xf>
    <xf numFmtId="43" fontId="14" fillId="0" borderId="0" xfId="2" applyFont="1" applyBorder="1" applyAlignment="1">
      <alignment horizontal="center" vertical="center"/>
    </xf>
    <xf numFmtId="43" fontId="14" fillId="0" borderId="0" xfId="2" applyFont="1" applyBorder="1" applyAlignment="1">
      <alignment horizontal="center" vertical="top"/>
    </xf>
    <xf numFmtId="43" fontId="16" fillId="0" borderId="0" xfId="2" applyFont="1" applyAlignment="1">
      <alignment vertical="center"/>
    </xf>
    <xf numFmtId="49" fontId="13" fillId="0" borderId="0" xfId="2" applyNumberFormat="1" applyFont="1" applyAlignment="1">
      <alignment horizontal="center" vertical="center"/>
    </xf>
    <xf numFmtId="43" fontId="13" fillId="0" borderId="0" xfId="2" applyFont="1" applyAlignment="1">
      <alignment vertical="center"/>
    </xf>
    <xf numFmtId="176" fontId="13" fillId="0" borderId="0" xfId="2" applyNumberFormat="1" applyFont="1" applyAlignment="1">
      <alignment horizontal="right" vertical="center"/>
    </xf>
    <xf numFmtId="176" fontId="13" fillId="0" borderId="0" xfId="2" applyNumberFormat="1" applyFont="1" applyAlignment="1">
      <alignment vertical="center"/>
    </xf>
    <xf numFmtId="43" fontId="13" fillId="0" borderId="0" xfId="2" applyFont="1" applyAlignment="1">
      <alignment horizontal="center" vertical="center"/>
    </xf>
    <xf numFmtId="0" fontId="17" fillId="0" borderId="0" xfId="3" applyFont="1" applyAlignment="1"/>
    <xf numFmtId="49" fontId="13" fillId="0" borderId="0" xfId="2" applyNumberFormat="1" applyFont="1" applyAlignment="1">
      <alignment horizontal="left" vertical="center"/>
    </xf>
    <xf numFmtId="49" fontId="14" fillId="0" borderId="0" xfId="3" applyNumberFormat="1" applyFont="1" applyAlignment="1">
      <alignment horizontal="left" vertical="center"/>
    </xf>
    <xf numFmtId="43" fontId="14" fillId="0" borderId="0" xfId="2" applyFont="1" applyAlignment="1">
      <alignment horizontal="center" vertical="center"/>
    </xf>
    <xf numFmtId="43" fontId="14" fillId="0" borderId="0" xfId="2" applyFont="1" applyAlignment="1">
      <alignment vertical="top"/>
    </xf>
    <xf numFmtId="0" fontId="19" fillId="0" borderId="0" xfId="3" applyFont="1" applyAlignment="1">
      <alignment horizontal="left" vertical="top"/>
    </xf>
    <xf numFmtId="0" fontId="13" fillId="0" borderId="0" xfId="3" applyFont="1" applyAlignment="1">
      <alignment vertical="top"/>
    </xf>
    <xf numFmtId="0" fontId="13" fillId="0" borderId="0" xfId="3" applyFont="1" applyAlignment="1">
      <alignment horizontal="center" vertical="top"/>
    </xf>
    <xf numFmtId="49" fontId="19" fillId="0" borderId="0" xfId="2" applyNumberFormat="1" applyFont="1" applyBorder="1" applyAlignment="1">
      <alignment horizontal="left" vertical="top"/>
    </xf>
    <xf numFmtId="43" fontId="13" fillId="0" borderId="0" xfId="2" applyFont="1" applyBorder="1" applyAlignment="1">
      <alignment horizontal="center" vertical="top"/>
    </xf>
    <xf numFmtId="0" fontId="14" fillId="0" borderId="0" xfId="3" applyFont="1" applyAlignment="1">
      <alignment horizontal="center" vertical="top" wrapText="1"/>
    </xf>
    <xf numFmtId="49" fontId="14" fillId="0" borderId="0" xfId="2" applyNumberFormat="1" applyFont="1" applyBorder="1" applyAlignment="1">
      <alignment horizontal="right" vertical="top"/>
    </xf>
    <xf numFmtId="43" fontId="14" fillId="0" borderId="0" xfId="2" applyFont="1" applyBorder="1" applyAlignment="1">
      <alignment vertical="top"/>
    </xf>
    <xf numFmtId="49" fontId="14" fillId="0" borderId="0" xfId="2" applyNumberFormat="1" applyFont="1" applyBorder="1" applyAlignment="1">
      <alignment vertical="top"/>
    </xf>
    <xf numFmtId="0" fontId="15" fillId="2" borderId="0" xfId="3" applyFont="1" applyFill="1" applyAlignment="1">
      <alignment horizontal="center" vertical="center" wrapText="1"/>
    </xf>
    <xf numFmtId="181" fontId="14" fillId="0" borderId="0" xfId="2" applyNumberFormat="1" applyFont="1" applyBorder="1" applyAlignment="1">
      <alignment horizontal="center" vertical="center"/>
    </xf>
    <xf numFmtId="0" fontId="14" fillId="0" borderId="0" xfId="3" applyFont="1" applyAlignment="1"/>
    <xf numFmtId="0" fontId="14" fillId="0" borderId="0" xfId="3" applyFont="1">
      <alignment vertical="center"/>
    </xf>
    <xf numFmtId="0" fontId="13" fillId="0" borderId="0" xfId="2" applyNumberFormat="1" applyFont="1" applyAlignment="1">
      <alignment vertical="center"/>
    </xf>
    <xf numFmtId="43" fontId="13" fillId="0" borderId="0" xfId="2" applyFont="1" applyBorder="1" applyAlignment="1">
      <alignment vertical="center"/>
    </xf>
    <xf numFmtId="0" fontId="13" fillId="0" borderId="0" xfId="3" applyFont="1" applyAlignment="1">
      <alignment horizontal="center" vertical="center"/>
    </xf>
    <xf numFmtId="43" fontId="14" fillId="0" borderId="0" xfId="2" applyFont="1" applyBorder="1" applyAlignment="1">
      <alignment horizontal="left" vertical="top"/>
    </xf>
    <xf numFmtId="177" fontId="14" fillId="0" borderId="0" xfId="3" applyNumberFormat="1" applyFont="1" applyAlignment="1">
      <alignment horizontal="center" vertical="top" wrapText="1"/>
    </xf>
    <xf numFmtId="177" fontId="23" fillId="0" borderId="0" xfId="3" applyNumberFormat="1" applyFont="1" applyAlignment="1">
      <alignment horizontal="center" vertical="top" wrapText="1"/>
    </xf>
    <xf numFmtId="49" fontId="14" fillId="0" borderId="0" xfId="3" applyNumberFormat="1" applyFont="1" applyAlignment="1">
      <alignment horizontal="left" vertical="top" wrapText="1"/>
    </xf>
    <xf numFmtId="43" fontId="14" fillId="0" borderId="0" xfId="2" applyFont="1" applyBorder="1" applyAlignment="1">
      <alignment horizontal="right" vertical="center"/>
    </xf>
    <xf numFmtId="43" fontId="14" fillId="0" borderId="0" xfId="2" applyFont="1" applyBorder="1" applyAlignment="1">
      <alignment horizontal="left" vertical="center"/>
    </xf>
    <xf numFmtId="185" fontId="14" fillId="0" borderId="0" xfId="2" applyNumberFormat="1" applyFont="1" applyBorder="1" applyAlignment="1">
      <alignment horizontal="center" vertical="center"/>
    </xf>
    <xf numFmtId="43" fontId="16" fillId="0" borderId="0" xfId="2" applyFont="1" applyAlignment="1">
      <alignment horizontal="center" vertical="center"/>
    </xf>
    <xf numFmtId="0" fontId="14" fillId="0" borderId="0" xfId="3" applyFont="1" applyAlignment="1">
      <alignment vertical="top" wrapText="1"/>
    </xf>
    <xf numFmtId="0" fontId="32" fillId="2" borderId="0" xfId="3" applyFont="1" applyFill="1" applyAlignment="1">
      <alignment horizontal="center" vertical="center" wrapText="1"/>
    </xf>
    <xf numFmtId="0" fontId="16" fillId="0" borderId="0" xfId="3" applyFont="1" applyAlignment="1">
      <alignment horizontal="center" vertical="center" wrapText="1"/>
    </xf>
    <xf numFmtId="0" fontId="16" fillId="0" borderId="0" xfId="3" applyFont="1" applyAlignment="1">
      <alignment horizontal="left" vertical="center" wrapText="1" indent="1"/>
    </xf>
    <xf numFmtId="179" fontId="16" fillId="0" borderId="0" xfId="3" applyNumberFormat="1" applyFont="1" applyAlignment="1">
      <alignment horizontal="center" vertical="center" wrapText="1"/>
    </xf>
    <xf numFmtId="180" fontId="16" fillId="0" borderId="0" xfId="3" applyNumberFormat="1" applyFont="1" applyAlignment="1">
      <alignment horizontal="center" vertical="center" wrapText="1"/>
    </xf>
    <xf numFmtId="180" fontId="16" fillId="0" borderId="0" xfId="3" applyNumberFormat="1" applyFont="1" applyAlignment="1">
      <alignment vertical="center" wrapText="1"/>
    </xf>
    <xf numFmtId="3" fontId="16" fillId="0" borderId="0" xfId="3" applyNumberFormat="1" applyFont="1" applyAlignment="1">
      <alignment horizontal="center" vertical="center" wrapText="1"/>
    </xf>
    <xf numFmtId="0" fontId="16" fillId="0" borderId="0" xfId="3" applyFont="1" applyAlignment="1">
      <alignment horizontal="left" vertical="center" wrapText="1"/>
    </xf>
    <xf numFmtId="43" fontId="14" fillId="0" borderId="0" xfId="2" applyFont="1" applyBorder="1" applyAlignment="1">
      <alignment horizontal="left" vertical="center" indent="1"/>
    </xf>
    <xf numFmtId="185" fontId="14" fillId="0" borderId="0" xfId="2" applyNumberFormat="1" applyFont="1" applyBorder="1" applyAlignment="1">
      <alignment horizontal="left" vertical="center" indent="1"/>
    </xf>
    <xf numFmtId="43" fontId="16" fillId="0" borderId="0" xfId="2" applyFont="1" applyBorder="1" applyAlignment="1">
      <alignment horizontal="left" vertical="center" indent="1"/>
    </xf>
    <xf numFmtId="3" fontId="16" fillId="0" borderId="0" xfId="3" applyNumberFormat="1" applyFont="1" applyAlignment="1">
      <alignment vertical="center" wrapText="1"/>
    </xf>
    <xf numFmtId="0" fontId="16" fillId="0" borderId="0" xfId="3" applyFont="1" applyAlignment="1">
      <alignment vertical="center" wrapText="1"/>
    </xf>
    <xf numFmtId="186" fontId="34" fillId="0" borderId="0" xfId="3" applyNumberFormat="1" applyFont="1" applyAlignment="1">
      <alignment vertical="center" wrapText="1"/>
    </xf>
    <xf numFmtId="0" fontId="31" fillId="0" borderId="0" xfId="3" applyFont="1" applyAlignment="1">
      <alignment vertical="top"/>
    </xf>
    <xf numFmtId="49" fontId="18" fillId="0" borderId="0" xfId="2" applyNumberFormat="1" applyFont="1" applyBorder="1" applyAlignment="1">
      <alignment horizontal="left" vertical="center"/>
    </xf>
    <xf numFmtId="177" fontId="14" fillId="0" borderId="0" xfId="2" applyNumberFormat="1" applyFont="1" applyBorder="1" applyAlignment="1">
      <alignment horizontal="left" vertical="center"/>
    </xf>
    <xf numFmtId="43" fontId="16" fillId="0" borderId="0" xfId="2" applyFont="1" applyBorder="1" applyAlignment="1">
      <alignment vertical="center"/>
    </xf>
    <xf numFmtId="0" fontId="14" fillId="0" borderId="0" xfId="3" applyFont="1" applyAlignment="1">
      <alignment horizontal="left" vertical="center" wrapText="1" indent="1"/>
    </xf>
    <xf numFmtId="0" fontId="15" fillId="0" borderId="0" xfId="3" applyFont="1" applyAlignment="1">
      <alignment horizontal="left" vertical="center" wrapText="1" indent="1"/>
    </xf>
    <xf numFmtId="0" fontId="20" fillId="0" borderId="0" xfId="3" applyFont="1" applyAlignment="1">
      <alignment horizontal="left" wrapText="1"/>
    </xf>
    <xf numFmtId="0" fontId="28" fillId="0" borderId="0" xfId="3" applyFont="1" applyAlignment="1">
      <alignment horizontal="left" vertical="center" wrapText="1" indent="1"/>
    </xf>
    <xf numFmtId="178" fontId="16" fillId="0" borderId="0" xfId="3" applyNumberFormat="1" applyFont="1" applyAlignment="1">
      <alignment horizontal="center" vertical="center" wrapText="1"/>
    </xf>
    <xf numFmtId="0" fontId="30" fillId="0" borderId="0" xfId="3" applyFont="1" applyAlignment="1">
      <alignment horizontal="center" vertical="center"/>
    </xf>
    <xf numFmtId="176" fontId="13" fillId="0" borderId="0" xfId="2" applyNumberFormat="1" applyFont="1" applyAlignment="1">
      <alignment horizontal="left" vertical="center" indent="1"/>
    </xf>
    <xf numFmtId="43" fontId="32" fillId="2" borderId="0" xfId="2" applyFont="1" applyFill="1" applyBorder="1" applyAlignment="1">
      <alignment horizontal="center" vertical="center"/>
    </xf>
    <xf numFmtId="43" fontId="15" fillId="2" borderId="0" xfId="2" applyFont="1" applyFill="1" applyBorder="1" applyAlignment="1">
      <alignment horizontal="center" vertical="center"/>
    </xf>
    <xf numFmtId="43" fontId="19" fillId="2" borderId="0" xfId="2" applyFont="1" applyFill="1" applyBorder="1" applyAlignment="1">
      <alignment horizontal="center"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xf numFmtId="0" fontId="21" fillId="0" borderId="0" xfId="3" applyFont="1" applyAlignment="1"/>
    <xf numFmtId="49" fontId="22" fillId="0" borderId="0" xfId="2" applyNumberFormat="1" applyFont="1" applyBorder="1" applyAlignment="1">
      <alignment horizontal="left" vertical="center"/>
    </xf>
    <xf numFmtId="0" fontId="14" fillId="0" borderId="0" xfId="3" applyFont="1">
      <alignment vertical="center"/>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33617</xdr:colOff>
      <xdr:row>0</xdr:row>
      <xdr:rowOff>100852</xdr:rowOff>
    </xdr:from>
    <xdr:to>
      <xdr:col>3</xdr:col>
      <xdr:colOff>1516474</xdr:colOff>
      <xdr:row>0</xdr:row>
      <xdr:rowOff>616324</xdr:rowOff>
    </xdr:to>
    <xdr:pic>
      <xdr:nvPicPr>
        <xdr:cNvPr id="2" name="图片 1">
          <a:extLst>
            <a:ext uri="{FF2B5EF4-FFF2-40B4-BE49-F238E27FC236}">
              <a16:creationId xmlns:a16="http://schemas.microsoft.com/office/drawing/2014/main" id="{784D1078-B066-4254-837F-49E2A51C98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33617" y="100852"/>
          <a:ext cx="3482693"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ACDB4-7D26-4244-8BD3-85D7E4AE9F86}">
  <dimension ref="A1:T29"/>
  <sheetViews>
    <sheetView tabSelected="1" view="pageBreakPreview" topLeftCell="A7" zoomScaleNormal="115" zoomScaleSheetLayoutView="100" workbookViewId="0">
      <selection activeCell="F15" sqref="F15"/>
    </sheetView>
  </sheetViews>
  <sheetFormatPr defaultColWidth="9" defaultRowHeight="15"/>
  <cols>
    <col min="1" max="1" width="8.6640625" style="63" customWidth="1"/>
    <col min="2" max="2" width="10.88671875" style="64" customWidth="1"/>
    <col min="3" max="3" width="6.77734375" style="64" customWidth="1"/>
    <col min="4" max="4" width="23" style="64" bestFit="1" customWidth="1"/>
    <col min="5" max="5" width="16.6640625" style="64" customWidth="1"/>
    <col min="6" max="6" width="9.44140625" style="64" customWidth="1"/>
    <col min="7" max="7" width="6.6640625" style="64" customWidth="1"/>
    <col min="8" max="8" width="10.109375" style="65" customWidth="1"/>
    <col min="9" max="9" width="11.88671875" style="66" customWidth="1"/>
    <col min="10" max="10" width="7" style="64" customWidth="1"/>
    <col min="11" max="11" width="10.88671875" style="64" customWidth="1"/>
    <col min="12" max="12" width="1" style="64" customWidth="1"/>
    <col min="13" max="13" width="11.6640625" style="64" customWidth="1"/>
    <col min="14" max="14" width="1.6640625" style="64" customWidth="1"/>
    <col min="15" max="15" width="10.88671875" style="67" customWidth="1"/>
    <col min="16" max="16" width="2.88671875" style="67" customWidth="1"/>
    <col min="17" max="17" width="15" style="64" customWidth="1"/>
    <col min="18" max="18" width="11.77734375" style="64" customWidth="1"/>
    <col min="19" max="19" width="12.77734375" style="64" customWidth="1"/>
    <col min="20" max="16384" width="9" style="64"/>
  </cols>
  <sheetData>
    <row r="1" spans="1:20" s="55" customFormat="1" ht="66" customHeight="1">
      <c r="A1" s="68" t="s">
        <v>63</v>
      </c>
      <c r="B1" s="68"/>
      <c r="C1" s="68"/>
      <c r="D1" s="68"/>
      <c r="E1" s="68"/>
      <c r="F1" s="68"/>
      <c r="G1" s="121" t="s">
        <v>72</v>
      </c>
      <c r="H1" s="121"/>
      <c r="I1" s="121"/>
      <c r="O1" s="88"/>
      <c r="P1" s="88"/>
    </row>
    <row r="2" spans="1:20" ht="26.25" customHeight="1">
      <c r="A2" s="69" t="s">
        <v>0</v>
      </c>
      <c r="H2" s="122" t="s">
        <v>59</v>
      </c>
      <c r="I2" s="122"/>
    </row>
    <row r="3" spans="1:20" s="56" customFormat="1" ht="21.75" customHeight="1">
      <c r="A3" s="113" t="s">
        <v>1</v>
      </c>
      <c r="B3" s="70"/>
      <c r="C3" s="58"/>
      <c r="D3" s="60"/>
      <c r="E3" s="60"/>
      <c r="F3" s="58"/>
      <c r="G3" s="58"/>
      <c r="H3" s="106" t="s">
        <v>64</v>
      </c>
      <c r="I3" s="114" t="s">
        <v>59</v>
      </c>
      <c r="O3" s="71"/>
      <c r="P3" s="71"/>
    </row>
    <row r="4" spans="1:20" s="56" customFormat="1" ht="21.75" customHeight="1">
      <c r="A4" s="69"/>
      <c r="B4" s="70"/>
      <c r="D4" s="71"/>
      <c r="E4" s="71"/>
      <c r="K4" s="78"/>
      <c r="L4" s="74"/>
      <c r="M4" s="78"/>
      <c r="N4" s="57"/>
      <c r="O4" s="77"/>
      <c r="P4" s="77"/>
      <c r="Q4" s="77"/>
      <c r="R4" s="77"/>
    </row>
    <row r="5" spans="1:20" s="57" customFormat="1" ht="24.9" customHeight="1">
      <c r="A5" s="112" t="s">
        <v>75</v>
      </c>
      <c r="C5" s="72"/>
      <c r="D5" s="72"/>
      <c r="E5" s="72"/>
      <c r="F5" s="73"/>
      <c r="G5" s="73"/>
      <c r="H5" s="74"/>
      <c r="I5" s="74"/>
      <c r="J5" s="75"/>
      <c r="K5" s="61"/>
      <c r="L5" s="61"/>
      <c r="M5" s="61"/>
      <c r="N5" s="61"/>
      <c r="O5" s="61"/>
      <c r="P5" s="61"/>
      <c r="Q5" s="89"/>
      <c r="R5" s="61"/>
      <c r="S5" s="61"/>
    </row>
    <row r="6" spans="1:20" s="57" customFormat="1" ht="24.9" customHeight="1">
      <c r="A6" s="76"/>
      <c r="F6" s="97"/>
      <c r="G6" s="97"/>
      <c r="H6" s="97"/>
      <c r="I6" s="97"/>
      <c r="J6" s="77"/>
      <c r="K6" s="90"/>
      <c r="L6" s="77"/>
      <c r="M6" s="90"/>
      <c r="N6" s="77"/>
      <c r="O6" s="90"/>
      <c r="P6" s="77"/>
      <c r="Q6" s="91"/>
      <c r="R6" s="92"/>
      <c r="S6" s="90"/>
    </row>
    <row r="7" spans="1:20" s="57" customFormat="1" ht="24" customHeight="1">
      <c r="A7" s="79"/>
      <c r="B7" s="80"/>
      <c r="C7" s="81"/>
      <c r="D7" s="81"/>
      <c r="E7" s="81"/>
      <c r="F7" s="97"/>
      <c r="G7" s="97"/>
      <c r="H7" s="97"/>
      <c r="I7" s="97"/>
      <c r="J7" s="77"/>
      <c r="K7" s="77"/>
      <c r="L7" s="77"/>
      <c r="M7" s="56"/>
      <c r="N7" s="60"/>
      <c r="O7" s="60"/>
      <c r="P7" s="60"/>
      <c r="Q7" s="60"/>
      <c r="R7" s="60"/>
      <c r="S7" s="60"/>
      <c r="T7" s="58"/>
    </row>
    <row r="8" spans="1:20" s="59" customFormat="1" ht="24.9" customHeight="1">
      <c r="A8" s="98" t="s">
        <v>60</v>
      </c>
      <c r="B8" s="123" t="s">
        <v>61</v>
      </c>
      <c r="C8" s="124"/>
      <c r="D8" s="82" t="s">
        <v>65</v>
      </c>
      <c r="E8" s="82" t="s">
        <v>66</v>
      </c>
      <c r="F8" s="82" t="s">
        <v>67</v>
      </c>
      <c r="G8" s="82" t="s">
        <v>68</v>
      </c>
      <c r="H8" s="82" t="s">
        <v>69</v>
      </c>
      <c r="I8" s="82" t="s">
        <v>70</v>
      </c>
      <c r="M8" s="125"/>
      <c r="N8" s="125"/>
      <c r="O8" s="125"/>
      <c r="P8" s="125"/>
      <c r="Q8" s="125"/>
      <c r="R8" s="125"/>
      <c r="S8" s="125"/>
      <c r="T8" s="125"/>
    </row>
    <row r="9" spans="1:20" s="58" customFormat="1" ht="24.9" customHeight="1">
      <c r="A9" s="99"/>
      <c r="B9" s="120"/>
      <c r="C9" s="120"/>
      <c r="D9" s="99"/>
      <c r="E9" s="99"/>
      <c r="F9" s="101"/>
      <c r="G9" s="101"/>
      <c r="H9" s="102"/>
      <c r="I9" s="102"/>
      <c r="L9" s="93"/>
      <c r="O9" s="60"/>
      <c r="P9" s="60"/>
      <c r="Q9" s="94"/>
      <c r="R9" s="94"/>
    </row>
    <row r="10" spans="1:20" s="58" customFormat="1" ht="24.9" customHeight="1">
      <c r="A10" s="99"/>
      <c r="B10" s="120"/>
      <c r="C10" s="120"/>
      <c r="D10" s="99"/>
      <c r="E10" s="99"/>
      <c r="F10" s="101"/>
      <c r="G10" s="101"/>
      <c r="H10" s="102"/>
      <c r="I10" s="102"/>
      <c r="L10" s="93"/>
      <c r="O10" s="60"/>
      <c r="P10" s="60"/>
      <c r="Q10" s="94"/>
      <c r="R10" s="94"/>
    </row>
    <row r="11" spans="1:20" s="58" customFormat="1" ht="24.9" customHeight="1">
      <c r="A11" s="99"/>
      <c r="B11" s="120"/>
      <c r="C11" s="120"/>
      <c r="D11" s="105"/>
      <c r="E11" s="99"/>
      <c r="F11" s="101"/>
      <c r="G11" s="101"/>
      <c r="H11" s="102"/>
      <c r="I11" s="102"/>
      <c r="L11" s="93"/>
      <c r="O11" s="60"/>
      <c r="P11" s="60"/>
      <c r="Q11" s="94"/>
      <c r="R11" s="94"/>
    </row>
    <row r="12" spans="1:20" s="58" customFormat="1" ht="24.9" customHeight="1">
      <c r="A12" s="99"/>
      <c r="B12" s="120"/>
      <c r="C12" s="120"/>
      <c r="D12" s="105"/>
      <c r="E12" s="100"/>
      <c r="F12" s="101"/>
      <c r="G12" s="101"/>
      <c r="H12" s="102"/>
      <c r="I12" s="102"/>
      <c r="L12" s="93"/>
      <c r="O12" s="60"/>
      <c r="P12" s="60"/>
      <c r="Q12" s="94"/>
      <c r="R12" s="94"/>
    </row>
    <row r="13" spans="1:20" s="58" customFormat="1" ht="24.9" customHeight="1">
      <c r="A13" s="99"/>
      <c r="B13" s="120"/>
      <c r="C13" s="120"/>
      <c r="D13" s="105"/>
      <c r="E13" s="100"/>
      <c r="F13" s="101"/>
      <c r="G13" s="101"/>
      <c r="H13" s="103" t="s">
        <v>74</v>
      </c>
      <c r="I13" s="102">
        <f>SUM(I9:I12)</f>
        <v>0</v>
      </c>
      <c r="L13" s="93"/>
      <c r="O13" s="60"/>
      <c r="P13" s="60"/>
      <c r="Q13" s="94"/>
      <c r="R13" s="94"/>
    </row>
    <row r="14" spans="1:20" s="58" customFormat="1" ht="24.9" customHeight="1">
      <c r="A14" s="99"/>
      <c r="B14" s="120"/>
      <c r="C14" s="120"/>
      <c r="D14" s="105"/>
      <c r="E14" s="100"/>
      <c r="F14" s="101"/>
      <c r="G14" s="101"/>
      <c r="H14" s="103" t="s">
        <v>73</v>
      </c>
      <c r="I14" s="102">
        <f>I13*0.13</f>
        <v>0</v>
      </c>
      <c r="L14" s="93"/>
      <c r="M14" s="60"/>
      <c r="N14" s="60"/>
      <c r="O14" s="60"/>
      <c r="P14" s="60"/>
      <c r="Q14" s="60"/>
      <c r="R14" s="60"/>
      <c r="S14" s="60"/>
      <c r="T14" s="60"/>
    </row>
    <row r="15" spans="1:20" s="60" customFormat="1" ht="24.9" customHeight="1">
      <c r="A15" s="110" t="s">
        <v>59</v>
      </c>
      <c r="B15" s="110"/>
      <c r="C15" s="110"/>
      <c r="D15" s="99"/>
      <c r="E15" s="99"/>
      <c r="F15" s="109" t="s">
        <v>14</v>
      </c>
      <c r="G15" s="104"/>
      <c r="H15" s="110" t="s">
        <v>62</v>
      </c>
      <c r="I15" s="111">
        <f>I14+I13</f>
        <v>0</v>
      </c>
      <c r="J15" s="83"/>
    </row>
    <row r="16" spans="1:20" s="60" customFormat="1" ht="30" customHeight="1">
      <c r="A16" s="118" t="s">
        <v>71</v>
      </c>
      <c r="B16" s="118"/>
      <c r="C16" s="118"/>
      <c r="D16" s="118"/>
      <c r="E16" s="118"/>
      <c r="F16" s="118"/>
      <c r="G16" s="118"/>
      <c r="H16" s="118"/>
      <c r="I16" s="118"/>
      <c r="L16" s="95"/>
    </row>
    <row r="17" spans="1:20" s="106" customFormat="1" ht="24.9" customHeight="1">
      <c r="A17" s="119" t="s">
        <v>76</v>
      </c>
      <c r="B17" s="116"/>
      <c r="C17" s="116"/>
      <c r="D17" s="116"/>
      <c r="E17" s="116"/>
      <c r="F17" s="116"/>
      <c r="G17" s="116"/>
      <c r="H17" s="116"/>
      <c r="I17" s="116"/>
      <c r="L17" s="107"/>
      <c r="M17" s="108"/>
      <c r="N17" s="108"/>
      <c r="O17" s="108"/>
      <c r="P17" s="108"/>
      <c r="Q17" s="108"/>
      <c r="R17" s="108"/>
      <c r="S17" s="108"/>
      <c r="T17" s="108"/>
    </row>
    <row r="18" spans="1:20" s="106" customFormat="1" ht="24.9" customHeight="1">
      <c r="A18" s="119"/>
      <c r="B18" s="119"/>
      <c r="C18" s="119"/>
      <c r="D18" s="119"/>
      <c r="E18" s="119"/>
      <c r="F18" s="119"/>
      <c r="G18" s="119"/>
      <c r="H18" s="119"/>
      <c r="I18" s="119"/>
      <c r="L18" s="107"/>
      <c r="M18" s="108"/>
      <c r="N18" s="108"/>
      <c r="O18" s="108"/>
      <c r="P18" s="108"/>
      <c r="Q18" s="108"/>
      <c r="R18" s="108"/>
      <c r="S18" s="108"/>
      <c r="T18" s="108"/>
    </row>
    <row r="19" spans="1:20" s="108" customFormat="1" ht="24.9" customHeight="1">
      <c r="A19" s="116"/>
      <c r="B19" s="116"/>
      <c r="C19" s="116"/>
      <c r="D19" s="116"/>
      <c r="E19" s="116"/>
      <c r="F19" s="116"/>
      <c r="G19" s="116"/>
      <c r="H19" s="116"/>
      <c r="I19" s="116"/>
    </row>
    <row r="20" spans="1:20" s="108" customFormat="1" ht="24.9" customHeight="1">
      <c r="A20" s="116"/>
      <c r="B20" s="116"/>
      <c r="C20" s="116"/>
      <c r="D20" s="116"/>
      <c r="E20" s="116"/>
      <c r="F20" s="116"/>
      <c r="G20" s="116"/>
      <c r="H20" s="116"/>
      <c r="I20" s="116"/>
      <c r="M20" s="106"/>
      <c r="N20" s="106"/>
      <c r="O20" s="106"/>
      <c r="P20" s="106"/>
      <c r="Q20" s="106"/>
      <c r="R20" s="106"/>
      <c r="S20" s="106"/>
      <c r="T20" s="106"/>
    </row>
    <row r="21" spans="1:20" s="106" customFormat="1" ht="24.9" customHeight="1">
      <c r="A21" s="116"/>
      <c r="B21" s="116"/>
      <c r="C21" s="116"/>
      <c r="D21" s="116"/>
      <c r="E21" s="116"/>
      <c r="F21" s="116"/>
      <c r="G21" s="116"/>
      <c r="H21" s="116"/>
      <c r="I21" s="116"/>
      <c r="L21" s="107"/>
    </row>
    <row r="22" spans="1:20" s="106" customFormat="1" ht="24.9" customHeight="1">
      <c r="A22" s="117" t="s">
        <v>59</v>
      </c>
      <c r="B22" s="117"/>
      <c r="C22" s="117"/>
      <c r="D22" s="117"/>
      <c r="E22" s="117"/>
      <c r="F22" s="117"/>
      <c r="G22" s="117"/>
      <c r="H22" s="117"/>
      <c r="I22" s="117"/>
      <c r="L22" s="107"/>
    </row>
    <row r="23" spans="1:20" s="62" customFormat="1" ht="24" customHeight="1">
      <c r="A23" s="156"/>
      <c r="B23" s="156"/>
      <c r="C23" s="156"/>
      <c r="D23" s="156"/>
      <c r="E23" s="156"/>
      <c r="F23" s="156"/>
      <c r="G23" s="156"/>
      <c r="H23" s="156"/>
      <c r="I23" s="156"/>
      <c r="J23" s="115"/>
      <c r="K23" s="115"/>
      <c r="O23" s="96"/>
      <c r="P23" s="96"/>
    </row>
    <row r="24" spans="1:20" s="62" customFormat="1" ht="19.5" customHeight="1">
      <c r="A24" s="157"/>
      <c r="B24" s="157"/>
      <c r="C24" s="157"/>
      <c r="D24" s="157"/>
      <c r="E24" s="157"/>
      <c r="F24" s="157"/>
      <c r="G24" s="157"/>
      <c r="H24" s="157"/>
      <c r="I24" s="157"/>
      <c r="J24" s="115"/>
      <c r="K24" s="115"/>
      <c r="M24" s="64"/>
      <c r="N24" s="64"/>
      <c r="O24" s="67"/>
      <c r="P24" s="67"/>
      <c r="Q24" s="64"/>
      <c r="R24" s="64"/>
      <c r="S24" s="64"/>
      <c r="T24" s="64"/>
    </row>
    <row r="25" spans="1:20">
      <c r="A25" s="158"/>
      <c r="B25" s="158"/>
      <c r="C25" s="158"/>
      <c r="D25" s="158"/>
      <c r="E25" s="158"/>
      <c r="F25" s="158"/>
      <c r="G25" s="158"/>
      <c r="H25" s="158"/>
      <c r="I25" s="158"/>
    </row>
    <row r="26" spans="1:20">
      <c r="A26" s="85"/>
      <c r="C26" s="86"/>
      <c r="D26" s="87"/>
      <c r="E26" s="87"/>
      <c r="F26" s="85"/>
      <c r="G26" s="85"/>
      <c r="I26" s="84"/>
    </row>
    <row r="27" spans="1:20">
      <c r="A27" s="85"/>
      <c r="C27" s="86"/>
      <c r="D27" s="87"/>
      <c r="E27" s="87"/>
      <c r="F27" s="85"/>
      <c r="G27" s="85"/>
      <c r="I27" s="84"/>
    </row>
    <row r="28" spans="1:20">
      <c r="A28" s="55"/>
      <c r="F28" s="55"/>
      <c r="G28" s="55"/>
      <c r="I28" s="84"/>
    </row>
    <row r="29" spans="1:20">
      <c r="A29" s="69"/>
    </row>
  </sheetData>
  <mergeCells count="20">
    <mergeCell ref="A23:I23"/>
    <mergeCell ref="A24:I24"/>
    <mergeCell ref="A25:I25"/>
    <mergeCell ref="A18:I18"/>
    <mergeCell ref="M8:T8"/>
    <mergeCell ref="B9:C9"/>
    <mergeCell ref="B10:C10"/>
    <mergeCell ref="B11:C11"/>
    <mergeCell ref="B12:C12"/>
    <mergeCell ref="B13:C13"/>
    <mergeCell ref="B14:C14"/>
    <mergeCell ref="G1:I1"/>
    <mergeCell ref="H2:I2"/>
    <mergeCell ref="B8:C8"/>
    <mergeCell ref="A21:I21"/>
    <mergeCell ref="A22:I22"/>
    <mergeCell ref="A16:I16"/>
    <mergeCell ref="A17:I17"/>
    <mergeCell ref="A19:I19"/>
    <mergeCell ref="A20:I20"/>
  </mergeCells>
  <phoneticPr fontId="26" type="noConversion"/>
  <hyperlinks>
    <hyperlink ref="A3" r:id="rId1" xr:uid="{8ACF6771-4A0C-4435-86E1-6637089609A1}"/>
  </hyperlinks>
  <printOptions horizontalCentered="1"/>
  <pageMargins left="0.59055118110236204" right="0.59055118110236204" top="0.35433070866141703" bottom="0.31496062992126" header="0.35433070866141703" footer="0.31496062992126"/>
  <pageSetup paperSize="9" scale="87"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51" t="s">
        <v>18</v>
      </c>
      <c r="B1" s="151"/>
      <c r="C1" s="151"/>
      <c r="D1" s="151"/>
      <c r="E1" s="151"/>
      <c r="F1" s="151"/>
      <c r="G1" s="151"/>
      <c r="M1" s="45"/>
      <c r="N1" s="45"/>
    </row>
    <row r="2" spans="1:15" ht="13.5" customHeight="1">
      <c r="F2" s="12" t="s">
        <v>19</v>
      </c>
      <c r="G2" s="13" t="s">
        <v>2</v>
      </c>
      <c r="H2" s="8" t="s">
        <v>2</v>
      </c>
    </row>
    <row r="3" spans="1:15" ht="15" customHeight="1">
      <c r="F3" s="12" t="s">
        <v>20</v>
      </c>
      <c r="G3" s="13" t="s">
        <v>21</v>
      </c>
    </row>
    <row r="4" spans="1:15">
      <c r="A4" s="14" t="s">
        <v>22</v>
      </c>
      <c r="B4" s="15" t="s">
        <v>23</v>
      </c>
      <c r="C4" s="15"/>
      <c r="D4" s="15"/>
      <c r="F4" s="15"/>
      <c r="G4" s="16"/>
      <c r="H4" s="9"/>
    </row>
    <row r="5" spans="1:15" s="2" customFormat="1" ht="33" customHeight="1">
      <c r="A5" s="17"/>
      <c r="B5" s="152" t="s">
        <v>24</v>
      </c>
      <c r="C5" s="152"/>
      <c r="D5" s="152"/>
      <c r="E5" s="152"/>
      <c r="F5" s="152"/>
      <c r="G5" s="152"/>
      <c r="H5" s="18"/>
      <c r="M5" s="46"/>
      <c r="N5" s="46"/>
    </row>
    <row r="6" spans="1:15" s="2" customFormat="1" ht="5.25" customHeight="1">
      <c r="A6" s="17"/>
      <c r="B6" s="19"/>
      <c r="C6" s="19"/>
      <c r="D6" s="19"/>
      <c r="E6" s="19"/>
      <c r="F6" s="19"/>
      <c r="G6" s="19"/>
      <c r="M6" s="46"/>
      <c r="N6" s="46"/>
    </row>
    <row r="7" spans="1:15" s="2" customFormat="1">
      <c r="A7" s="14" t="s">
        <v>25</v>
      </c>
      <c r="B7" s="153" t="s">
        <v>3</v>
      </c>
      <c r="C7" s="153"/>
      <c r="D7" s="153"/>
      <c r="E7" s="153"/>
      <c r="F7" s="153"/>
      <c r="G7" s="20"/>
      <c r="M7" s="46"/>
      <c r="N7" s="46"/>
    </row>
    <row r="8" spans="1:15" s="2" customFormat="1" ht="54" customHeight="1">
      <c r="A8" s="17"/>
      <c r="B8" s="154" t="s">
        <v>26</v>
      </c>
      <c r="C8" s="154"/>
      <c r="D8" s="154"/>
      <c r="E8" s="154"/>
      <c r="F8" s="154"/>
      <c r="G8" s="154"/>
      <c r="M8" s="46"/>
      <c r="N8" s="46"/>
    </row>
    <row r="9" spans="1:15" s="2" customFormat="1" ht="6" customHeight="1">
      <c r="A9" s="17"/>
      <c r="B9" s="21"/>
      <c r="C9" s="21"/>
      <c r="D9" s="21"/>
      <c r="E9" s="21"/>
      <c r="F9" s="21"/>
      <c r="G9" s="21"/>
      <c r="M9" s="46"/>
      <c r="N9" s="46"/>
    </row>
    <row r="10" spans="1:15" s="3" customFormat="1" ht="49.5" customHeight="1">
      <c r="A10" s="155" t="s">
        <v>27</v>
      </c>
      <c r="B10" s="155"/>
      <c r="C10" s="155"/>
      <c r="D10" s="155"/>
      <c r="E10" s="155"/>
      <c r="F10" s="155"/>
      <c r="G10" s="155"/>
      <c r="M10" s="4"/>
      <c r="N10" s="4"/>
    </row>
    <row r="11" spans="1:15" s="3" customFormat="1" ht="27" customHeight="1">
      <c r="A11" s="148" t="s">
        <v>28</v>
      </c>
      <c r="B11" s="148"/>
      <c r="C11" s="148"/>
      <c r="D11" s="148"/>
      <c r="E11" s="148"/>
      <c r="F11" s="148"/>
      <c r="G11" s="148"/>
      <c r="M11" s="4"/>
      <c r="N11" s="4"/>
    </row>
    <row r="12" spans="1:15" s="4" customFormat="1" ht="30.75" customHeight="1">
      <c r="A12" s="22" t="s">
        <v>29</v>
      </c>
      <c r="B12" s="149" t="s">
        <v>4</v>
      </c>
      <c r="C12" s="150"/>
      <c r="D12" s="23" t="s">
        <v>5</v>
      </c>
      <c r="E12" s="24" t="s">
        <v>6</v>
      </c>
      <c r="F12" s="24" t="s">
        <v>30</v>
      </c>
      <c r="G12" s="24" t="s">
        <v>31</v>
      </c>
      <c r="L12" s="47"/>
      <c r="M12" s="48"/>
      <c r="N12" s="49"/>
      <c r="O12" s="133"/>
    </row>
    <row r="13" spans="1:15" s="3" customFormat="1" ht="18" customHeight="1">
      <c r="A13" s="25">
        <v>1</v>
      </c>
      <c r="B13" s="145">
        <v>50655</v>
      </c>
      <c r="C13" s="146"/>
      <c r="D13" s="26" t="s">
        <v>7</v>
      </c>
      <c r="E13" s="27">
        <v>1000</v>
      </c>
      <c r="F13" s="28">
        <v>15.35</v>
      </c>
      <c r="G13" s="28">
        <f>F13*E13</f>
        <v>15350</v>
      </c>
      <c r="J13" s="51"/>
      <c r="M13" s="4"/>
      <c r="N13" s="4"/>
      <c r="O13" s="133"/>
    </row>
    <row r="14" spans="1:15" s="3" customFormat="1" ht="18" customHeight="1">
      <c r="A14" s="25">
        <v>2</v>
      </c>
      <c r="B14" s="145">
        <v>50755</v>
      </c>
      <c r="C14" s="146"/>
      <c r="D14" s="26" t="s">
        <v>8</v>
      </c>
      <c r="E14" s="27">
        <v>1000</v>
      </c>
      <c r="F14" s="29">
        <v>15.35</v>
      </c>
      <c r="G14" s="28">
        <f t="shared" ref="G14:G18" si="0">F14*E14</f>
        <v>15350</v>
      </c>
      <c r="J14" s="51"/>
      <c r="M14" s="4"/>
      <c r="N14" s="4"/>
      <c r="O14" s="50"/>
    </row>
    <row r="15" spans="1:15" s="3" customFormat="1" ht="18" customHeight="1">
      <c r="A15" s="25">
        <v>3</v>
      </c>
      <c r="B15" s="145">
        <v>50665</v>
      </c>
      <c r="C15" s="146"/>
      <c r="D15" s="26" t="s">
        <v>9</v>
      </c>
      <c r="E15" s="27">
        <v>1000</v>
      </c>
      <c r="F15" s="29">
        <v>3.58</v>
      </c>
      <c r="G15" s="28">
        <f t="shared" si="0"/>
        <v>3580</v>
      </c>
      <c r="J15" s="51"/>
      <c r="M15" s="4"/>
      <c r="N15" s="4"/>
      <c r="O15" s="50"/>
    </row>
    <row r="16" spans="1:15" s="3" customFormat="1" ht="18" customHeight="1">
      <c r="A16" s="25">
        <v>4</v>
      </c>
      <c r="B16" s="145">
        <v>50765</v>
      </c>
      <c r="C16" s="146"/>
      <c r="D16" s="26" t="s">
        <v>10</v>
      </c>
      <c r="E16" s="27">
        <v>1000</v>
      </c>
      <c r="F16" s="29">
        <v>3.58</v>
      </c>
      <c r="G16" s="28">
        <f t="shared" si="0"/>
        <v>3580</v>
      </c>
      <c r="J16" s="51"/>
      <c r="M16" s="4"/>
      <c r="N16" s="4"/>
      <c r="O16" s="50"/>
    </row>
    <row r="17" spans="1:15" s="3" customFormat="1" ht="18" customHeight="1">
      <c r="A17" s="25">
        <v>5</v>
      </c>
      <c r="B17" s="145">
        <v>50720</v>
      </c>
      <c r="C17" s="146"/>
      <c r="D17" s="26" t="s">
        <v>11</v>
      </c>
      <c r="E17" s="27">
        <v>1000</v>
      </c>
      <c r="F17" s="29">
        <v>17.63</v>
      </c>
      <c r="G17" s="28">
        <f t="shared" si="0"/>
        <v>17630</v>
      </c>
      <c r="J17" s="51"/>
      <c r="M17" s="4"/>
      <c r="N17" s="4"/>
      <c r="O17" s="50"/>
    </row>
    <row r="18" spans="1:15" s="3" customFormat="1" ht="18" customHeight="1">
      <c r="A18" s="30">
        <v>6</v>
      </c>
      <c r="B18" s="145">
        <v>50730</v>
      </c>
      <c r="C18" s="146"/>
      <c r="D18" s="31" t="s">
        <v>12</v>
      </c>
      <c r="E18" s="27">
        <v>1000</v>
      </c>
      <c r="F18" s="28">
        <v>17.63</v>
      </c>
      <c r="G18" s="28">
        <f t="shared" si="0"/>
        <v>17630</v>
      </c>
      <c r="J18" s="51"/>
      <c r="M18" s="4"/>
      <c r="N18" s="4"/>
      <c r="O18" s="50"/>
    </row>
    <row r="19" spans="1:15" s="4" customFormat="1" ht="16.5" customHeight="1">
      <c r="A19" s="134" t="s">
        <v>13</v>
      </c>
      <c r="B19" s="135"/>
      <c r="C19" s="136"/>
      <c r="D19" s="32"/>
      <c r="E19" s="127">
        <f>SUM(E13:E18)</f>
        <v>6000</v>
      </c>
      <c r="F19" s="129"/>
      <c r="G19" s="131">
        <f>SUM(G13:G18)</f>
        <v>73120</v>
      </c>
      <c r="H19" s="33"/>
    </row>
    <row r="20" spans="1:15" s="4" customFormat="1" ht="13.5" customHeight="1">
      <c r="A20" s="137"/>
      <c r="B20" s="138"/>
      <c r="C20" s="139"/>
      <c r="D20" s="34"/>
      <c r="E20" s="128"/>
      <c r="F20" s="130"/>
      <c r="G20" s="132"/>
    </row>
    <row r="21" spans="1:15" s="4" customFormat="1" ht="30" hidden="1" customHeight="1">
      <c r="A21" s="147" t="s">
        <v>32</v>
      </c>
      <c r="B21" s="147"/>
      <c r="C21" s="147"/>
      <c r="D21" s="147"/>
      <c r="E21" s="147"/>
      <c r="F21" s="147"/>
      <c r="G21" s="147"/>
      <c r="J21" s="52"/>
    </row>
    <row r="22" spans="1:15" s="4" customFormat="1" ht="30" customHeight="1">
      <c r="A22" s="126" t="s">
        <v>33</v>
      </c>
      <c r="B22" s="126"/>
      <c r="C22" s="126"/>
      <c r="D22" s="126"/>
      <c r="E22" s="126"/>
      <c r="F22" s="126"/>
      <c r="G22" s="126"/>
      <c r="J22" s="52"/>
    </row>
    <row r="23" spans="1:15" s="4" customFormat="1" ht="21.75" customHeight="1">
      <c r="A23" s="36" t="s">
        <v>15</v>
      </c>
      <c r="B23" s="35"/>
      <c r="C23" s="35"/>
      <c r="D23" s="35"/>
      <c r="E23" s="35"/>
      <c r="F23" s="35"/>
      <c r="G23" s="35"/>
      <c r="J23" s="52"/>
    </row>
    <row r="24" spans="1:15" s="4" customFormat="1" ht="21.75" customHeight="1">
      <c r="A24" s="36" t="s">
        <v>16</v>
      </c>
      <c r="B24" s="35"/>
      <c r="C24" s="35"/>
      <c r="D24" s="35"/>
      <c r="E24" s="35"/>
      <c r="F24" s="35"/>
      <c r="G24" s="35"/>
      <c r="J24" s="52"/>
    </row>
    <row r="25" spans="1:15" s="4" customFormat="1" ht="21.75" customHeight="1">
      <c r="A25" s="36" t="s">
        <v>17</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26" t="s">
        <v>34</v>
      </c>
      <c r="B27" s="126"/>
      <c r="C27" s="126"/>
      <c r="D27" s="126"/>
      <c r="E27" s="126"/>
      <c r="F27" s="126"/>
      <c r="G27" s="126"/>
      <c r="J27" s="52"/>
    </row>
    <row r="28" spans="1:15" s="5" customFormat="1" ht="19.5" customHeight="1">
      <c r="A28" s="36" t="s">
        <v>35</v>
      </c>
      <c r="C28" s="36"/>
      <c r="D28" s="36"/>
      <c r="G28" s="36"/>
      <c r="M28" s="53"/>
      <c r="N28" s="53"/>
    </row>
    <row r="29" spans="1:15" s="5" customFormat="1" ht="19.5" customHeight="1">
      <c r="A29" s="36" t="s">
        <v>36</v>
      </c>
      <c r="C29" s="36"/>
      <c r="D29" s="36"/>
      <c r="G29" s="18"/>
      <c r="M29" s="53"/>
      <c r="N29" s="53"/>
    </row>
    <row r="30" spans="1:15" s="6" customFormat="1" ht="19.5" customHeight="1">
      <c r="A30" s="36" t="s">
        <v>37</v>
      </c>
      <c r="C30" s="37"/>
      <c r="D30" s="37"/>
      <c r="G30" s="38"/>
      <c r="M30" s="54"/>
      <c r="N30" s="54"/>
    </row>
    <row r="31" spans="1:15" s="6" customFormat="1" ht="19.5" customHeight="1">
      <c r="A31" s="36" t="s">
        <v>38</v>
      </c>
      <c r="C31" s="36"/>
      <c r="D31" s="36"/>
      <c r="G31" s="36"/>
      <c r="M31" s="54"/>
      <c r="N31" s="54"/>
    </row>
    <row r="32" spans="1:15" s="6" customFormat="1" ht="19.5" customHeight="1">
      <c r="A32" s="36" t="s">
        <v>39</v>
      </c>
      <c r="C32" s="36"/>
      <c r="D32" s="36"/>
      <c r="G32" s="36"/>
      <c r="M32" s="54"/>
      <c r="N32" s="54"/>
    </row>
    <row r="33" spans="1:14" s="6" customFormat="1" ht="19.5" customHeight="1">
      <c r="A33" s="36" t="s">
        <v>40</v>
      </c>
      <c r="C33" s="36"/>
      <c r="D33" s="36"/>
      <c r="G33" s="36"/>
      <c r="M33" s="54"/>
      <c r="N33" s="54"/>
    </row>
    <row r="34" spans="1:14" s="4" customFormat="1" ht="30" customHeight="1">
      <c r="A34" s="126" t="s">
        <v>41</v>
      </c>
      <c r="B34" s="126"/>
      <c r="C34" s="126"/>
      <c r="D34" s="126"/>
      <c r="E34" s="126"/>
      <c r="F34" s="126"/>
      <c r="G34" s="126"/>
      <c r="J34" s="52"/>
    </row>
    <row r="35" spans="1:14" s="5" customFormat="1" ht="19.5" customHeight="1">
      <c r="A35" s="36" t="s">
        <v>42</v>
      </c>
      <c r="C35" s="36"/>
      <c r="D35" s="36"/>
      <c r="G35" s="36"/>
      <c r="M35" s="53"/>
      <c r="N35" s="53"/>
    </row>
    <row r="36" spans="1:14" s="5" customFormat="1" ht="19.5" customHeight="1">
      <c r="A36" s="36" t="s">
        <v>43</v>
      </c>
      <c r="C36" s="36"/>
      <c r="D36" s="36"/>
      <c r="G36" s="18"/>
      <c r="M36" s="53"/>
      <c r="N36" s="53"/>
    </row>
    <row r="37" spans="1:14" s="4" customFormat="1" ht="30" customHeight="1">
      <c r="A37" s="126" t="s">
        <v>44</v>
      </c>
      <c r="B37" s="126"/>
      <c r="C37" s="126"/>
      <c r="D37" s="126"/>
      <c r="E37" s="126"/>
      <c r="F37" s="126"/>
      <c r="G37" s="126"/>
      <c r="J37" s="52"/>
    </row>
    <row r="38" spans="1:14" s="6" customFormat="1" ht="19.5" customHeight="1">
      <c r="A38" s="36" t="s">
        <v>45</v>
      </c>
      <c r="C38" s="36"/>
      <c r="D38" s="36"/>
      <c r="G38" s="36"/>
      <c r="M38" s="54"/>
      <c r="N38" s="54"/>
    </row>
    <row r="39" spans="1:14" s="6" customFormat="1" ht="19.5" customHeight="1">
      <c r="A39" s="36" t="s">
        <v>46</v>
      </c>
      <c r="C39" s="36"/>
      <c r="D39" s="36"/>
      <c r="G39" s="36"/>
      <c r="M39" s="54"/>
      <c r="N39" s="54"/>
    </row>
    <row r="40" spans="1:14" s="4" customFormat="1" ht="30" customHeight="1">
      <c r="A40" s="126" t="s">
        <v>47</v>
      </c>
      <c r="B40" s="126"/>
      <c r="C40" s="126"/>
      <c r="D40" s="126"/>
      <c r="E40" s="126"/>
      <c r="F40" s="126"/>
      <c r="G40" s="126"/>
      <c r="J40" s="52"/>
    </row>
    <row r="41" spans="1:14" s="6" customFormat="1" ht="19.5" customHeight="1">
      <c r="A41" s="144" t="s">
        <v>48</v>
      </c>
      <c r="B41" s="144"/>
      <c r="C41" s="144"/>
      <c r="D41" s="144"/>
      <c r="E41" s="144"/>
      <c r="F41" s="144"/>
      <c r="G41" s="144"/>
      <c r="M41" s="54"/>
      <c r="N41" s="54"/>
    </row>
    <row r="42" spans="1:14" s="6" customFormat="1" ht="44.25" customHeight="1">
      <c r="A42" s="140" t="s">
        <v>49</v>
      </c>
      <c r="B42" s="140"/>
      <c r="C42" s="140"/>
      <c r="D42" s="140"/>
      <c r="E42" s="140"/>
      <c r="F42" s="140"/>
      <c r="G42" s="140"/>
      <c r="M42" s="54"/>
      <c r="N42" s="54"/>
    </row>
    <row r="43" spans="1:14" s="4" customFormat="1" ht="7.5" customHeight="1">
      <c r="A43" s="35"/>
      <c r="B43" s="35"/>
      <c r="C43" s="35"/>
      <c r="D43" s="35"/>
      <c r="E43" s="35"/>
      <c r="F43" s="35"/>
      <c r="G43" s="35"/>
      <c r="J43" s="52"/>
    </row>
    <row r="44" spans="1:14" s="4" customFormat="1" ht="30" customHeight="1">
      <c r="A44" s="126" t="s">
        <v>50</v>
      </c>
      <c r="B44" s="126"/>
      <c r="C44" s="126"/>
      <c r="D44" s="126"/>
      <c r="E44" s="126"/>
      <c r="F44" s="126"/>
      <c r="G44" s="126"/>
      <c r="J44" s="52"/>
    </row>
    <row r="45" spans="1:14" s="6" customFormat="1" ht="58.5" customHeight="1">
      <c r="A45" s="141" t="s">
        <v>51</v>
      </c>
      <c r="B45" s="142"/>
      <c r="C45" s="142"/>
      <c r="D45" s="142"/>
      <c r="E45" s="142"/>
      <c r="F45" s="142"/>
      <c r="G45" s="142"/>
      <c r="M45" s="54"/>
      <c r="N45" s="54"/>
    </row>
    <row r="46" spans="1:14" s="4" customFormat="1" ht="7.5" customHeight="1">
      <c r="A46" s="35"/>
      <c r="B46" s="35"/>
      <c r="C46" s="35"/>
      <c r="D46" s="35"/>
      <c r="E46" s="35"/>
      <c r="F46" s="35"/>
      <c r="G46" s="35"/>
      <c r="J46" s="52"/>
    </row>
    <row r="47" spans="1:14" s="4" customFormat="1" ht="30" customHeight="1">
      <c r="A47" s="126" t="s">
        <v>52</v>
      </c>
      <c r="B47" s="126"/>
      <c r="C47" s="126"/>
      <c r="D47" s="126"/>
      <c r="E47" s="126"/>
      <c r="F47" s="126"/>
      <c r="G47" s="126"/>
      <c r="J47" s="52"/>
    </row>
    <row r="48" spans="1:14" s="6" customFormat="1" ht="46.5" customHeight="1">
      <c r="A48" s="143" t="s">
        <v>53</v>
      </c>
      <c r="B48" s="143"/>
      <c r="C48" s="143"/>
      <c r="D48" s="143"/>
      <c r="E48" s="143"/>
      <c r="F48" s="143"/>
      <c r="G48" s="143"/>
      <c r="M48" s="54"/>
      <c r="N48" s="54"/>
    </row>
    <row r="49" spans="1:14" s="6" customFormat="1" ht="19.5" customHeight="1">
      <c r="A49" s="36"/>
      <c r="C49" s="36"/>
      <c r="D49" s="36"/>
      <c r="G49" s="36"/>
      <c r="M49" s="54"/>
      <c r="N49" s="54"/>
    </row>
    <row r="50" spans="1:14" s="6" customFormat="1" ht="19.5" customHeight="1">
      <c r="A50" s="126" t="s">
        <v>54</v>
      </c>
      <c r="B50" s="126"/>
      <c r="C50" s="126"/>
      <c r="D50" s="126"/>
      <c r="E50" s="126"/>
      <c r="F50" s="126"/>
      <c r="G50" s="126"/>
      <c r="M50" s="54"/>
      <c r="N50" s="54"/>
    </row>
    <row r="51" spans="1:14" s="6" customFormat="1" ht="19.5" customHeight="1">
      <c r="A51" s="39" t="s">
        <v>55</v>
      </c>
      <c r="B51" s="39"/>
      <c r="C51" s="39"/>
      <c r="D51" s="39"/>
      <c r="E51" s="39" t="s">
        <v>56</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57</v>
      </c>
      <c r="C53" s="43"/>
      <c r="D53" s="2"/>
      <c r="E53" s="36" t="s">
        <v>57</v>
      </c>
      <c r="G53" s="44"/>
    </row>
    <row r="54" spans="1:14">
      <c r="A54" s="36" t="s">
        <v>58</v>
      </c>
      <c r="E54" s="36" t="s">
        <v>58</v>
      </c>
    </row>
  </sheetData>
  <mergeCells count="31">
    <mergeCell ref="A1:G1"/>
    <mergeCell ref="B5:G5"/>
    <mergeCell ref="B7:F7"/>
    <mergeCell ref="B8:G8"/>
    <mergeCell ref="A10:G10"/>
    <mergeCell ref="A11:G11"/>
    <mergeCell ref="B12:C12"/>
    <mergeCell ref="B13:C13"/>
    <mergeCell ref="B14:C14"/>
    <mergeCell ref="B15:C15"/>
    <mergeCell ref="B16:C16"/>
    <mergeCell ref="B17:C17"/>
    <mergeCell ref="B18:C18"/>
    <mergeCell ref="A21:G21"/>
    <mergeCell ref="A22:G22"/>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s>
  <phoneticPr fontId="26"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PO</vt:lpstr>
      <vt:lpstr>contract</vt:lpstr>
      <vt:lpstr>contract!Print_Area</vt:lpstr>
      <vt:lpstr>PO!Print_Area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2026-04-30T08:15:56Z</cp:lastPrinted>
  <dcterms:created xsi:type="dcterms:W3CDTF">2025-11-18T13:13:00Z</dcterms:created>
  <dcterms:modified xsi:type="dcterms:W3CDTF">2026-05-15T15:43:45Z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