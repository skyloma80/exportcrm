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'PI'!$A1:$H37</definedName>
    <definedName name="_xlnm.Print_Area" localSheetId="1">'contract'!$A1:$G57</definedName>
  </definedNames>
  <calcPr calcId="171027"/>
</workbook>
</file>

<file path=xl/sharedStrings.xml><?xml version="1.0" encoding="utf-8"?>
<sst xmlns="http://schemas.openxmlformats.org/spreadsheetml/2006/main" count="141" uniqueCount="111">
  <si>
    <t>PROFORMA INVOICE</t>
  </si>
  <si>
    <t>Chongqing Alustars International Co.,Ltd.</t>
  </si>
  <si>
    <t xml:space="preserve">Supplier ID </t>
  </si>
  <si>
    <t>0897</t>
  </si>
  <si>
    <t xml:space="preserve"> VAT 91500109MADTT20C92</t>
  </si>
  <si>
    <t>PO No.</t>
  </si>
  <si>
    <t>26-00336</t>
  </si>
  <si>
    <t xml:space="preserve"> </t>
  </si>
  <si>
    <t xml:space="preserve"> www.alustars.com</t>
  </si>
  <si>
    <t>Invoice No.</t>
  </si>
  <si>
    <t>A2604-001</t>
  </si>
  <si>
    <t>Date:</t>
  </si>
  <si>
    <t>Apr 20, 2026</t>
  </si>
  <si>
    <t xml:space="preserve">TO: </t>
  </si>
  <si>
    <t>TROCOMP S.A.</t>
  </si>
  <si>
    <t>Add.</t>
  </si>
  <si>
    <t>C/  Cadí, 18  -  Pol. Ind. Celrà 17460  Celrà (Girona)</t>
  </si>
  <si>
    <t>NIF:</t>
  </si>
  <si>
    <t>A17205873</t>
  </si>
  <si>
    <t>No.</t>
  </si>
  <si>
    <t>Part Number</t>
  </si>
  <si>
    <t>Description</t>
  </si>
  <si>
    <t>Quantity</t>
  </si>
  <si>
    <t>Unit</t>
  </si>
  <si>
    <t>Unit Price</t>
  </si>
  <si>
    <t>Amount</t>
  </si>
  <si>
    <t xml:space="preserve">0080-2062-0843
Iss.6-1/2</t>
  </si>
  <si>
    <t xml:space="preserve">Pilot Light Torch Tube
HS code: 7326909890</t>
  </si>
  <si>
    <t>PCS</t>
  </si>
  <si>
    <t>TOTAL</t>
  </si>
  <si>
    <t>Terms and Conditions</t>
  </si>
  <si>
    <t xml:space="preserve">    Payment Term:</t>
  </si>
  <si>
    <t>T/T 30% advance (1492.50 euros), 70% before shipment (3482.50 euros)</t>
  </si>
  <si>
    <t xml:space="preserve">    Price Term:</t>
  </si>
  <si>
    <t>EXW Shenzhen</t>
  </si>
  <si>
    <t xml:space="preserve">    Country of Origin:</t>
  </si>
  <si>
    <t>China</t>
  </si>
  <si>
    <t xml:space="preserve">    Country of Destination:</t>
  </si>
  <si>
    <t>Spain</t>
  </si>
  <si>
    <t xml:space="preserve">    Port of Loading:</t>
  </si>
  <si>
    <t>Shenzhen</t>
  </si>
  <si>
    <t xml:space="preserve">    Port of Discharge:</t>
  </si>
  <si>
    <t>Barcelona</t>
  </si>
  <si>
    <t xml:space="preserve">    Mode of Shipment:</t>
  </si>
  <si>
    <t>TBD</t>
  </si>
  <si>
    <t xml:space="preserve">    Time of Delivery</t>
  </si>
  <si>
    <t>25 days</t>
  </si>
  <si>
    <t>Remittance Instructions</t>
  </si>
  <si>
    <t xml:space="preserve">    1. BENEFICIARY NAME:CHONGQING ALUSTARS INTERNATIONAL CO.,LTD </t>
  </si>
  <si>
    <t>Signed by</t>
  </si>
  <si>
    <t xml:space="preserve">    Carlos Feliu
    VP of Business Development                                                      (Company Seal)</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</si>
  <si>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</si>
  <si>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</si>
  <si>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</si>
  <si>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</si>
  <si>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</si>
  <si>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</si>
  <si>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</si>
  <si>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</si>
  <si>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</si>
  <si>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</si>
  <si>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</si>
  <si>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</si>
  <si>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</si>
  <si>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</si>
  <si>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</si>
  <si>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</si>
  <si>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</si>
  <si>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</si>
  <si>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</si>
  <si>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</si>
  <si>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</si>
  <si>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</si>
  <si>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</si>
  <si>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HOLDER, R STEP</t>
  </si>
  <si>
    <t>HOLDER, L STEP</t>
  </si>
  <si>
    <t>BRACKET, R STEP</t>
  </si>
  <si>
    <t>BRACKET, L STEP</t>
  </si>
  <si>
    <t>ARM, R STEP</t>
  </si>
  <si>
    <t>ARM, L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</si>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</sst>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9">
    <border>
      <left/>
      <right/>
      <top/>
      <bottom/>
      <diagonal/>
    </border>
    <border>
      <left/>
      <right/>
      <top/>
      <bottom style="medium">
        <color theme="2" tint="-0.09994811853389081"/>
      </bottom>
      <diagonal/>
    </border>
    <border>
      <left/>
      <right/>
      <top/>
      <bottom style="thin">
        <color theme="2" tint="-0.249946592608417"/>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49">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167" fontId="5" fillId="0" borderId="0" xfId="0" applyNumberFormat="1" applyFont="1" applyAlignment="1">
      <alignment horizontal="left" vertical="top" wrapText="1" indent="1"/>
    </xf>
    <xf numFmtId="168" fontId="5" fillId="0" borderId="0" xfId="0" applyNumberFormat="1" applyFont="1" applyAlignment="1">
      <alignment horizontal="center" vertical="top" wrapText="1"/>
    </xf>
    <xf numFmtId="169" fontId="5" fillId="0" borderId="0" xfId="0" applyNumberFormat="1" applyFont="1" applyAlignment="1">
      <alignment horizontal="center" vertical="top" wrapText="1"/>
    </xf>
    <xf numFmtId="170" fontId="5" fillId="0" borderId="0" xfId="0" applyNumberFormat="1" applyFont="1" applyAlignment="1">
      <alignment horizontal="center" vertical="top" wrapText="1"/>
    </xf>
    <xf numFmtId="164" fontId="5" fillId="0" borderId="0" xfId="0" applyNumberFormat="1" applyFont="1" applyAlignment="1">
      <alignment horizontal="right" vertical="center"/>
    </xf>
    <xf numFmtId="167" fontId="5" fillId="0" borderId="0" xfId="0" applyNumberFormat="1" applyFont="1" applyAlignment="1">
      <alignment horizontal="center" vertical="top" wrapText="1"/>
    </xf>
    <xf numFmtId="0" fontId="5" fillId="0" borderId="2" xfId="0" applyFont="1" applyBorder="1" applyAlignment="1">
      <alignment horizontal="center" vertical="top" wrapText="1"/>
    </xf>
    <xf numFmtId="167" fontId="5" fillId="0" borderId="2" xfId="0" applyNumberFormat="1" applyFont="1" applyBorder="1" applyAlignment="1">
      <alignment horizontal="center" vertical="top" wrapText="1"/>
    </xf>
    <xf numFmtId="0" fontId="5" fillId="0" borderId="2" xfId="0" applyFont="1" applyBorder="1" applyAlignment="1">
      <alignment horizontal="left" vertical="top" wrapText="1"/>
    </xf>
    <xf numFmtId="168" fontId="5" fillId="0" borderId="2" xfId="0" applyNumberFormat="1" applyFont="1" applyBorder="1" applyAlignment="1">
      <alignment horizontal="center" vertical="top" wrapText="1"/>
    </xf>
    <xf numFmtId="170" fontId="5" fillId="0" borderId="2" xfId="0" applyNumberFormat="1" applyFont="1" applyBorder="1" applyAlignment="1">
      <alignment horizontal="center" vertical="top"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5" fillId="0" borderId="0" xfId="0" applyFont="1" applyAlignment="1">
      <alignment horizontal="left" wrapText="1"/>
    </xf>
    <xf numFmtId="0" fontId="10" fillId="0" borderId="0" xfId="0" applyFont="1" applyAlignment="1">
      <alignment horizontal="left" wrapText="1"/>
    </xf>
    <xf numFmtId="0" fontId="11" fillId="0" borderId="0" xfId="0" applyFont="1" applyAlignment="1">
      <alignment horizontal="left" wrapText="1"/>
    </xf>
    <xf numFmtId="173" fontId="5" fillId="0" borderId="0" xfId="0" applyNumberFormat="1" applyFont="1" applyAlignment="1">
      <alignment horizontal="center" vertical="center"/>
    </xf>
    <xf numFmtId="0" fontId="7" fillId="0" borderId="0" xfId="0" applyFont="1" applyAlignment="1">
      <alignment horizontal="left" vertical="center" wrapText="1"/>
    </xf>
    <xf numFmtId="0" fontId="11" fillId="0" borderId="0" xfId="0" applyFont="1" applyAlignment="1">
      <alignment horizontal="left" vertical="center" wrapText="1"/>
    </xf>
    <xf numFmtId="0" fontId="5" fillId="0" borderId="0" xfId="0" applyFont="1" applyAlignment="1">
      <alignment horizontal="left" vertical="top"/>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3" xfId="0" applyFont="1" applyBorder="1"/>
    <xf numFmtId="49" fontId="14" fillId="0" borderId="4"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5" xfId="0" applyFont="1" applyBorder="1" applyAlignment="1">
      <alignment horizontal="left" vertical="center" wrapText="1"/>
    </xf>
    <xf numFmtId="0" fontId="23" fillId="0" borderId="6" xfId="0" applyFont="1" applyBorder="1" applyAlignment="1">
      <alignment horizontal="center" vertical="center" wrapText="1"/>
    </xf>
    <xf numFmtId="164" fontId="23" fillId="0" borderId="6" xfId="0" applyNumberFormat="1" applyFont="1" applyBorder="1" applyAlignment="1">
      <alignment horizontal="center" vertical="center"/>
    </xf>
    <xf numFmtId="164" fontId="23" fillId="0" borderId="7" xfId="0" applyNumberFormat="1" applyFont="1" applyBorder="1" applyAlignment="1">
      <alignment horizontal="center" vertical="center"/>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10" xfId="0" applyFont="1" applyBorder="1" applyAlignment="1">
      <alignment horizontal="center" vertical="center" wrapText="1"/>
    </xf>
    <xf numFmtId="167" fontId="23" fillId="0" borderId="6" xfId="0" applyNumberFormat="1" applyFont="1" applyBorder="1" applyAlignment="1">
      <alignment horizontal="center" vertical="center" wrapText="1"/>
    </xf>
    <xf numFmtId="167" fontId="23" fillId="0" borderId="7" xfId="0" applyNumberFormat="1" applyFont="1" applyBorder="1" applyAlignment="1">
      <alignment horizontal="center" vertical="center" wrapText="1"/>
    </xf>
    <xf numFmtId="0" fontId="23" fillId="0" borderId="5" xfId="0" applyFont="1" applyBorder="1" applyAlignment="1">
      <alignment horizontal="left" vertical="center" wrapText="1" indent="1"/>
    </xf>
    <xf numFmtId="168" fontId="23" fillId="0" borderId="10" xfId="0" applyNumberFormat="1" applyFont="1" applyBorder="1" applyAlignment="1">
      <alignment horizontal="center" vertical="center" wrapText="1"/>
    </xf>
    <xf numFmtId="170" fontId="23" fillId="0" borderId="9"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1" xfId="0" applyNumberFormat="1" applyFont="1" applyBorder="1" applyAlignment="1">
      <alignment horizontal="center" vertical="center" wrapText="1"/>
    </xf>
    <xf numFmtId="0" fontId="23" fillId="0" borderId="12" xfId="0" applyFont="1" applyBorder="1" applyAlignment="1">
      <alignment horizontal="center" vertical="center" wrapText="1"/>
    </xf>
    <xf numFmtId="0" fontId="23" fillId="0" borderId="0" xfId="0" applyFont="1" applyAlignment="1">
      <alignment horizontal="left" vertical="center" wrapText="1" inden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3" fontId="23" fillId="0" borderId="16" xfId="0" applyNumberFormat="1" applyFont="1" applyBorder="1" applyAlignment="1">
      <alignment horizontal="center" vertical="center" wrapText="1"/>
    </xf>
    <xf numFmtId="0" fontId="23" fillId="0" borderId="17" xfId="0" applyFont="1" applyBorder="1" applyAlignment="1">
      <alignment horizontal="center" vertical="center" wrapText="1"/>
    </xf>
    <xf numFmtId="170" fontId="24" fillId="0" borderId="17"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5" xfId="0" applyFont="1" applyBorder="1" applyAlignment="1">
      <alignment horizontal="center" vertical="center" wrapText="1"/>
    </xf>
    <xf numFmtId="0" fontId="23" fillId="0" borderId="18" xfId="0" applyFont="1" applyBorder="1" applyAlignment="1">
      <alignment horizontal="center" vertical="center" wrapText="1"/>
    </xf>
    <xf numFmtId="3" fontId="23" fillId="0" borderId="11" xfId="0" applyNumberFormat="1" applyFont="1" applyBorder="1" applyAlignment="1">
      <alignment horizontal="center" vertical="center" wrapText="1"/>
    </xf>
    <xf numFmtId="0" fontId="23" fillId="0" borderId="11" xfId="0" applyFont="1" applyBorder="1" applyAlignment="1">
      <alignment horizontal="center" vertical="center" wrapText="1"/>
    </xf>
    <xf numFmtId="170" fontId="24" fillId="0" borderId="11"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5" xfId="0" applyNumberFormat="1" applyFont="1" applyBorder="1" applyAlignment="1">
      <alignment vertical="center"/>
    </xf>
    <xf numFmtId="165" fontId="15" fillId="0" borderId="5"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http://www.alustars.com/" TargetMode="External"/><Relationship Id="rId2" Type="http://schemas.openxmlformats.org/officeDocument/2006/relationships/drawing" Target="../drawings/drawing1.xm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79" customWidth="1"/>
    <col min="2" max="2" width="7" style="80" customWidth="1"/>
    <col min="3" max="3" width="12.6640625" style="80" customWidth="1"/>
    <col min="4" max="4" width="21.88671875" style="80" customWidth="1"/>
    <col min="5" max="5" width="10.88671875" style="80" customWidth="1"/>
    <col min="6" max="6" width="9.6640625" style="81" customWidth="1"/>
    <col min="7" max="7" width="14.109375" style="82" customWidth="1"/>
    <col min="8" max="8" width="15.88671875" style="80" customWidth="1"/>
    <col min="9" max="9" width="13.44140625" style="80" customWidth="1"/>
    <col min="10" max="10" width="11.33203125" style="80" customWidth="1"/>
    <col min="11" max="11" width="9" style="80" customWidth="1"/>
    <col min="12" max="12" width="9.33203125" style="80" customWidth="1"/>
    <col min="13" max="13" width="9" style="83" customWidth="1"/>
    <col min="14" max="14" width="11.33203125" style="83" customWidth="1"/>
    <col min="15" max="15" width="39.88671875" style="80" customWidth="1"/>
    <col min="16" max="16384" width="9" style="80" customWidth="1"/>
  </cols>
  <sheetData>
    <row r="1" ht="17.25" customHeight="1" spans="1:14" s="84" customFormat="1" x14ac:dyDescent="0.25">
      <c r="A1" s="85" t="s">
        <v>59</v>
      </c>
      <c r="B1" s="85"/>
      <c r="C1" s="85"/>
      <c r="D1" s="85"/>
      <c r="E1" s="85"/>
      <c r="F1" s="85"/>
      <c r="G1" s="85"/>
      <c r="M1" s="86"/>
      <c r="N1" s="86"/>
    </row>
    <row r="2" ht="13.5" customHeight="1" spans="6:8" x14ac:dyDescent="0.25">
      <c r="F2" s="87" t="s">
        <v>60</v>
      </c>
      <c r="G2" s="88" t="s">
        <v>61</v>
      </c>
      <c r="H2" s="80" t="s">
        <v>61</v>
      </c>
    </row>
    <row r="3" ht="15" customHeight="1" spans="6:7" x14ac:dyDescent="0.25">
      <c r="F3" s="87" t="s">
        <v>62</v>
      </c>
      <c r="G3" s="88" t="s">
        <v>63</v>
      </c>
    </row>
    <row r="4" spans="1:8" x14ac:dyDescent="0.25">
      <c r="A4" s="89" t="s">
        <v>64</v>
      </c>
      <c r="B4" s="90" t="s">
        <v>65</v>
      </c>
      <c r="C4" s="90"/>
      <c r="D4" s="90"/>
      <c r="F4" s="90"/>
      <c r="G4" s="91"/>
      <c r="H4" s="81"/>
    </row>
    <row r="5" ht="33" customHeight="1" spans="1:14" s="80" customFormat="1" x14ac:dyDescent="0.25">
      <c r="A5" s="79"/>
      <c r="B5" s="92" t="s">
        <v>66</v>
      </c>
      <c r="C5" s="92"/>
      <c r="D5" s="92"/>
      <c r="E5" s="92"/>
      <c r="F5" s="92"/>
      <c r="G5" s="92"/>
      <c r="H5" s="93"/>
      <c r="M5" s="83"/>
      <c r="N5" s="83"/>
    </row>
    <row r="6" ht="5.25" customHeight="1" spans="1:14" s="80" customFormat="1" x14ac:dyDescent="0.25">
      <c r="A6" s="79"/>
      <c r="B6" s="94"/>
      <c r="C6" s="94"/>
      <c r="D6" s="94"/>
      <c r="E6" s="94"/>
      <c r="F6" s="94"/>
      <c r="G6" s="94"/>
      <c r="M6" s="83"/>
      <c r="N6" s="83"/>
    </row>
    <row r="7" spans="1:14" s="80" customFormat="1" x14ac:dyDescent="0.25">
      <c r="A7" s="89" t="s">
        <v>67</v>
      </c>
      <c r="B7" s="95" t="s">
        <v>68</v>
      </c>
      <c r="C7" s="95"/>
      <c r="D7" s="95"/>
      <c r="E7" s="95"/>
      <c r="F7" s="95"/>
      <c r="G7" s="82"/>
      <c r="M7" s="83"/>
      <c r="N7" s="83"/>
    </row>
    <row r="8" ht="54" customHeight="1" spans="1:14" s="80" customFormat="1" x14ac:dyDescent="0.25">
      <c r="A8" s="79"/>
      <c r="B8" s="96" t="s">
        <v>69</v>
      </c>
      <c r="C8" s="96"/>
      <c r="D8" s="96"/>
      <c r="E8" s="96"/>
      <c r="F8" s="96"/>
      <c r="G8" s="96"/>
      <c r="M8" s="83"/>
      <c r="N8" s="83"/>
    </row>
    <row r="9" ht="6" customHeight="1" spans="1:14" s="80" customFormat="1" x14ac:dyDescent="0.25">
      <c r="A9" s="79"/>
      <c r="B9" s="97"/>
      <c r="C9" s="97"/>
      <c r="D9" s="97"/>
      <c r="E9" s="97"/>
      <c r="F9" s="97"/>
      <c r="G9" s="97"/>
      <c r="M9" s="83"/>
      <c r="N9" s="83"/>
    </row>
    <row r="10" ht="49.5" customHeight="1" spans="1:14" s="98" customFormat="1" x14ac:dyDescent="0.25">
      <c r="A10" s="99" t="s">
        <v>70</v>
      </c>
      <c r="B10" s="99"/>
      <c r="C10" s="99"/>
      <c r="D10" s="99"/>
      <c r="E10" s="99"/>
      <c r="F10" s="99"/>
      <c r="G10" s="99"/>
      <c r="M10" s="100"/>
      <c r="N10" s="100"/>
    </row>
    <row r="11" ht="27" customHeight="1" spans="1:14" s="98" customFormat="1" x14ac:dyDescent="0.25">
      <c r="A11" s="101" t="s">
        <v>71</v>
      </c>
      <c r="B11" s="101"/>
      <c r="C11" s="101"/>
      <c r="D11" s="101"/>
      <c r="E11" s="101"/>
      <c r="F11" s="101"/>
      <c r="G11" s="101"/>
      <c r="M11" s="100"/>
      <c r="N11" s="100"/>
    </row>
    <row r="12" ht="30.75" customHeight="1" spans="1:15" s="100" customFormat="1" x14ac:dyDescent="0.25">
      <c r="A12" s="102" t="s">
        <v>72</v>
      </c>
      <c r="B12" s="103" t="s">
        <v>20</v>
      </c>
      <c r="C12" s="104"/>
      <c r="D12" s="105" t="s">
        <v>73</v>
      </c>
      <c r="E12" s="106" t="s">
        <v>22</v>
      </c>
      <c r="F12" s="106" t="s">
        <v>24</v>
      </c>
      <c r="G12" s="106" t="s">
        <v>25</v>
      </c>
      <c r="L12" s="107"/>
      <c r="M12" s="108"/>
      <c r="N12" s="109"/>
      <c r="O12" s="110"/>
    </row>
    <row r="13" ht="18" customHeight="1" spans="1:15" s="98" customFormat="1" x14ac:dyDescent="0.25">
      <c r="A13" s="111">
        <v>1</v>
      </c>
      <c r="B13" s="112">
        <v>50655</v>
      </c>
      <c r="C13" s="113"/>
      <c r="D13" s="114" t="s">
        <v>74</v>
      </c>
      <c r="E13" s="115">
        <v>1000</v>
      </c>
      <c r="F13" s="116">
        <v>15.35</v>
      </c>
      <c r="G13" s="116">
        <f t="shared" ref="G13:G18" si="0">F13*E13</f>
        <v>15350</v>
      </c>
      <c r="J13" s="117"/>
      <c r="M13" s="100"/>
      <c r="N13" s="100"/>
      <c r="O13" s="110"/>
    </row>
    <row r="14" ht="18" customHeight="1" spans="1:15" s="98" customFormat="1" x14ac:dyDescent="0.25">
      <c r="A14" s="111">
        <v>2</v>
      </c>
      <c r="B14" s="112">
        <v>50755</v>
      </c>
      <c r="C14" s="113"/>
      <c r="D14" s="114" t="s">
        <v>75</v>
      </c>
      <c r="E14" s="115">
        <v>1000</v>
      </c>
      <c r="F14" s="118">
        <v>15.35</v>
      </c>
      <c r="G14" s="116">
        <f t="shared" si="0"/>
        <v>15350</v>
      </c>
      <c r="J14" s="117"/>
      <c r="M14" s="100"/>
      <c r="N14" s="100"/>
      <c r="O14" s="110"/>
    </row>
    <row r="15" ht="18" customHeight="1" spans="1:15" s="98" customFormat="1" x14ac:dyDescent="0.25">
      <c r="A15" s="111">
        <v>3</v>
      </c>
      <c r="B15" s="112">
        <v>50665</v>
      </c>
      <c r="C15" s="113"/>
      <c r="D15" s="114" t="s">
        <v>76</v>
      </c>
      <c r="E15" s="115">
        <v>1000</v>
      </c>
      <c r="F15" s="118">
        <v>3.58</v>
      </c>
      <c r="G15" s="116">
        <f t="shared" si="0"/>
        <v>3580</v>
      </c>
      <c r="J15" s="117"/>
      <c r="M15" s="100"/>
      <c r="N15" s="100"/>
      <c r="O15" s="110"/>
    </row>
    <row r="16" ht="18" customHeight="1" spans="1:15" s="98" customFormat="1" x14ac:dyDescent="0.25">
      <c r="A16" s="111">
        <v>4</v>
      </c>
      <c r="B16" s="112">
        <v>50765</v>
      </c>
      <c r="C16" s="113"/>
      <c r="D16" s="114" t="s">
        <v>77</v>
      </c>
      <c r="E16" s="115">
        <v>1000</v>
      </c>
      <c r="F16" s="118">
        <v>3.58</v>
      </c>
      <c r="G16" s="116">
        <f t="shared" si="0"/>
        <v>3580</v>
      </c>
      <c r="J16" s="117"/>
      <c r="M16" s="100"/>
      <c r="N16" s="100"/>
      <c r="O16" s="110"/>
    </row>
    <row r="17" ht="18" customHeight="1" spans="1:15" s="98" customFormat="1" x14ac:dyDescent="0.25">
      <c r="A17" s="111">
        <v>5</v>
      </c>
      <c r="B17" s="112">
        <v>50720</v>
      </c>
      <c r="C17" s="113"/>
      <c r="D17" s="114" t="s">
        <v>78</v>
      </c>
      <c r="E17" s="115">
        <v>1000</v>
      </c>
      <c r="F17" s="118">
        <v>17.63</v>
      </c>
      <c r="G17" s="116">
        <f t="shared" si="0"/>
        <v>17630</v>
      </c>
      <c r="J17" s="117"/>
      <c r="M17" s="100"/>
      <c r="N17" s="100"/>
      <c r="O17" s="110"/>
    </row>
    <row r="18" ht="18" customHeight="1" spans="1:15" s="98" customFormat="1" x14ac:dyDescent="0.25">
      <c r="A18" s="119">
        <v>6</v>
      </c>
      <c r="B18" s="112">
        <v>50730</v>
      </c>
      <c r="C18" s="113"/>
      <c r="D18" s="120" t="s">
        <v>79</v>
      </c>
      <c r="E18" s="115">
        <v>1000</v>
      </c>
      <c r="F18" s="116">
        <v>17.63</v>
      </c>
      <c r="G18" s="116">
        <f t="shared" si="0"/>
        <v>17630</v>
      </c>
      <c r="J18" s="117"/>
      <c r="M18" s="100"/>
      <c r="N18" s="100"/>
      <c r="O18" s="110"/>
    </row>
    <row r="19" ht="16.5" customHeight="1" spans="1:8" s="100" customFormat="1" x14ac:dyDescent="0.25">
      <c r="A19" s="121" t="s">
        <v>80</v>
      </c>
      <c r="B19" s="122"/>
      <c r="C19" s="123"/>
      <c r="D19" s="123"/>
      <c r="E19" s="124">
        <f>SUM(E13:E18)</f>
        <v>6000</v>
      </c>
      <c r="F19" s="125"/>
      <c r="G19" s="126">
        <f>SUM(G13:G18)</f>
        <v>73120</v>
      </c>
      <c r="H19" s="127"/>
    </row>
    <row r="20" ht="13.5" customHeight="1" spans="1:7" s="100" customFormat="1" x14ac:dyDescent="0.25">
      <c r="A20" s="111"/>
      <c r="B20" s="128"/>
      <c r="C20" s="129"/>
      <c r="D20" s="129"/>
      <c r="E20" s="130"/>
      <c r="F20" s="131"/>
      <c r="G20" s="132"/>
    </row>
    <row r="21" ht="30" customHeight="1" hidden="1" spans="1:10" s="100" customFormat="1" x14ac:dyDescent="0.25">
      <c r="A21" s="133" t="s">
        <v>81</v>
      </c>
      <c r="B21" s="133"/>
      <c r="C21" s="133"/>
      <c r="D21" s="133"/>
      <c r="E21" s="133"/>
      <c r="F21" s="133"/>
      <c r="G21" s="133"/>
      <c r="J21" s="134"/>
    </row>
    <row r="22" ht="30" customHeight="1" spans="1:10" s="100" customFormat="1" x14ac:dyDescent="0.25">
      <c r="A22" s="135" t="s">
        <v>82</v>
      </c>
      <c r="B22" s="135"/>
      <c r="C22" s="135"/>
      <c r="D22" s="135"/>
      <c r="E22" s="135"/>
      <c r="F22" s="135"/>
      <c r="G22" s="135"/>
      <c r="J22" s="134"/>
    </row>
    <row r="23" ht="21.75" customHeight="1" spans="1:10" s="100" customFormat="1" x14ac:dyDescent="0.25">
      <c r="A23" s="89" t="s">
        <v>83</v>
      </c>
      <c r="B23" s="135"/>
      <c r="C23" s="135"/>
      <c r="D23" s="135"/>
      <c r="E23" s="135"/>
      <c r="F23" s="135"/>
      <c r="G23" s="135"/>
      <c r="J23" s="134"/>
    </row>
    <row r="24" ht="21.75" customHeight="1" spans="1:10" s="100" customFormat="1" x14ac:dyDescent="0.25">
      <c r="A24" s="89" t="s">
        <v>84</v>
      </c>
      <c r="B24" s="135"/>
      <c r="C24" s="135"/>
      <c r="D24" s="135"/>
      <c r="E24" s="135"/>
      <c r="F24" s="135"/>
      <c r="G24" s="135"/>
      <c r="J24" s="134"/>
    </row>
    <row r="25" ht="21.75" customHeight="1" spans="1:10" s="100" customFormat="1" x14ac:dyDescent="0.25">
      <c r="A25" s="89" t="s">
        <v>85</v>
      </c>
      <c r="B25" s="135"/>
      <c r="C25" s="135"/>
      <c r="D25" s="135"/>
      <c r="E25" s="135"/>
      <c r="F25" s="135"/>
      <c r="G25" s="135"/>
      <c r="J25" s="134"/>
    </row>
    <row r="26" ht="1.5" customHeight="1" spans="1:10" s="100" customFormat="1" x14ac:dyDescent="0.25">
      <c r="A26" s="135"/>
      <c r="B26" s="135"/>
      <c r="C26" s="135"/>
      <c r="D26" s="135"/>
      <c r="E26" s="135"/>
      <c r="F26" s="135"/>
      <c r="G26" s="135"/>
      <c r="J26" s="134"/>
    </row>
    <row r="27" ht="30" customHeight="1" spans="1:10" s="100" customFormat="1" x14ac:dyDescent="0.25">
      <c r="A27" s="135" t="s">
        <v>86</v>
      </c>
      <c r="B27" s="135"/>
      <c r="C27" s="135"/>
      <c r="D27" s="135"/>
      <c r="E27" s="135"/>
      <c r="F27" s="135"/>
      <c r="G27" s="135"/>
      <c r="J27" s="134"/>
    </row>
    <row r="28" ht="19.5" customHeight="1" spans="1:14" s="136" customFormat="1" x14ac:dyDescent="0.25">
      <c r="A28" s="89" t="s">
        <v>87</v>
      </c>
      <c r="C28" s="89"/>
      <c r="D28" s="89"/>
      <c r="G28" s="89"/>
      <c r="M28" s="137"/>
      <c r="N28" s="137"/>
    </row>
    <row r="29" ht="19.5" customHeight="1" spans="1:14" s="136" customFormat="1" x14ac:dyDescent="0.25">
      <c r="A29" s="89" t="s">
        <v>88</v>
      </c>
      <c r="C29" s="89"/>
      <c r="D29" s="89"/>
      <c r="G29" s="93"/>
      <c r="M29" s="137"/>
      <c r="N29" s="137"/>
    </row>
    <row r="30" ht="19.5" customHeight="1" spans="1:14" s="136" customFormat="1" x14ac:dyDescent="0.25">
      <c r="A30" s="89" t="s">
        <v>89</v>
      </c>
      <c r="C30" s="138"/>
      <c r="D30" s="138"/>
      <c r="G30" s="139"/>
      <c r="M30" s="137"/>
      <c r="N30" s="137"/>
    </row>
    <row r="31" ht="19.5" customHeight="1" spans="1:14" s="136" customFormat="1" x14ac:dyDescent="0.25">
      <c r="A31" s="89" t="s">
        <v>90</v>
      </c>
      <c r="C31" s="89"/>
      <c r="D31" s="89"/>
      <c r="G31" s="89"/>
      <c r="M31" s="137"/>
      <c r="N31" s="137"/>
    </row>
    <row r="32" ht="19.5" customHeight="1" spans="1:14" s="136" customFormat="1" x14ac:dyDescent="0.25">
      <c r="A32" s="89" t="s">
        <v>91</v>
      </c>
      <c r="C32" s="89"/>
      <c r="D32" s="89"/>
      <c r="G32" s="89"/>
      <c r="M32" s="137"/>
      <c r="N32" s="137"/>
    </row>
    <row r="33" ht="19.5" customHeight="1" spans="1:14" s="136" customFormat="1" x14ac:dyDescent="0.25">
      <c r="A33" s="89" t="s">
        <v>92</v>
      </c>
      <c r="C33" s="89"/>
      <c r="D33" s="89"/>
      <c r="G33" s="89"/>
      <c r="M33" s="137"/>
      <c r="N33" s="137"/>
    </row>
    <row r="34" ht="30" customHeight="1" spans="1:10" s="100" customFormat="1" x14ac:dyDescent="0.25">
      <c r="A34" s="135" t="s">
        <v>93</v>
      </c>
      <c r="B34" s="135"/>
      <c r="C34" s="135"/>
      <c r="D34" s="135"/>
      <c r="E34" s="135"/>
      <c r="F34" s="135"/>
      <c r="G34" s="135"/>
      <c r="J34" s="134"/>
    </row>
    <row r="35" ht="19.5" customHeight="1" spans="1:14" s="136" customFormat="1" x14ac:dyDescent="0.25">
      <c r="A35" s="89" t="s">
        <v>94</v>
      </c>
      <c r="C35" s="89"/>
      <c r="D35" s="89"/>
      <c r="G35" s="89"/>
      <c r="M35" s="137"/>
      <c r="N35" s="137"/>
    </row>
    <row r="36" ht="19.5" customHeight="1" spans="1:14" s="136" customFormat="1" x14ac:dyDescent="0.25">
      <c r="A36" s="89" t="s">
        <v>95</v>
      </c>
      <c r="C36" s="89"/>
      <c r="D36" s="89"/>
      <c r="G36" s="93"/>
      <c r="M36" s="137"/>
      <c r="N36" s="137"/>
    </row>
    <row r="37" ht="30" customHeight="1" spans="1:10" s="100" customFormat="1" x14ac:dyDescent="0.25">
      <c r="A37" s="135" t="s">
        <v>96</v>
      </c>
      <c r="B37" s="135"/>
      <c r="C37" s="135"/>
      <c r="D37" s="135"/>
      <c r="E37" s="135"/>
      <c r="F37" s="135"/>
      <c r="G37" s="135"/>
      <c r="J37" s="134"/>
    </row>
    <row r="38" ht="19.5" customHeight="1" spans="1:14" s="136" customFormat="1" x14ac:dyDescent="0.25">
      <c r="A38" s="89" t="s">
        <v>97</v>
      </c>
      <c r="C38" s="89"/>
      <c r="D38" s="89"/>
      <c r="G38" s="89"/>
      <c r="M38" s="137"/>
      <c r="N38" s="137"/>
    </row>
    <row r="39" ht="19.5" customHeight="1" spans="1:14" s="136" customFormat="1" x14ac:dyDescent="0.25">
      <c r="A39" s="89" t="s">
        <v>98</v>
      </c>
      <c r="C39" s="89"/>
      <c r="D39" s="89"/>
      <c r="G39" s="89"/>
      <c r="M39" s="137"/>
      <c r="N39" s="137"/>
    </row>
    <row r="40" ht="30" customHeight="1" spans="1:10" s="100" customFormat="1" x14ac:dyDescent="0.25">
      <c r="A40" s="135" t="s">
        <v>99</v>
      </c>
      <c r="B40" s="135"/>
      <c r="C40" s="135"/>
      <c r="D40" s="135"/>
      <c r="E40" s="135"/>
      <c r="F40" s="135"/>
      <c r="G40" s="135"/>
      <c r="J40" s="134"/>
    </row>
    <row r="41" ht="19.5" customHeight="1" spans="1:14" s="136" customFormat="1" x14ac:dyDescent="0.25">
      <c r="A41" s="95" t="s">
        <v>100</v>
      </c>
      <c r="B41" s="95"/>
      <c r="C41" s="95"/>
      <c r="D41" s="95"/>
      <c r="E41" s="95"/>
      <c r="F41" s="95"/>
      <c r="G41" s="95"/>
      <c r="M41" s="137"/>
      <c r="N41" s="137"/>
    </row>
    <row r="42" ht="44.25" customHeight="1" spans="1:14" s="136" customFormat="1" x14ac:dyDescent="0.25">
      <c r="A42" s="140" t="s">
        <v>101</v>
      </c>
      <c r="B42" s="140"/>
      <c r="C42" s="140"/>
      <c r="D42" s="140"/>
      <c r="E42" s="140"/>
      <c r="F42" s="140"/>
      <c r="G42" s="140"/>
      <c r="M42" s="137"/>
      <c r="N42" s="137"/>
    </row>
    <row r="43" ht="7.5" customHeight="1" spans="1:10" s="100" customFormat="1" x14ac:dyDescent="0.25">
      <c r="A43" s="135"/>
      <c r="B43" s="135"/>
      <c r="C43" s="135"/>
      <c r="D43" s="135"/>
      <c r="E43" s="135"/>
      <c r="F43" s="135"/>
      <c r="G43" s="135"/>
      <c r="J43" s="134"/>
    </row>
    <row r="44" ht="30" customHeight="1" spans="1:10" s="100" customFormat="1" x14ac:dyDescent="0.25">
      <c r="A44" s="135" t="s">
        <v>102</v>
      </c>
      <c r="B44" s="135"/>
      <c r="C44" s="135"/>
      <c r="D44" s="135"/>
      <c r="E44" s="135"/>
      <c r="F44" s="135"/>
      <c r="G44" s="135"/>
      <c r="J44" s="134"/>
    </row>
    <row r="45" ht="58.5" customHeight="1" spans="1:14" s="136" customFormat="1" x14ac:dyDescent="0.25">
      <c r="A45" s="141" t="s">
        <v>103</v>
      </c>
      <c r="B45" s="142"/>
      <c r="C45" s="142"/>
      <c r="D45" s="142"/>
      <c r="E45" s="142"/>
      <c r="F45" s="142"/>
      <c r="G45" s="142"/>
      <c r="M45" s="137"/>
      <c r="N45" s="137"/>
    </row>
    <row r="46" ht="7.5" customHeight="1" spans="1:10" s="100" customFormat="1" x14ac:dyDescent="0.25">
      <c r="A46" s="135"/>
      <c r="B46" s="135"/>
      <c r="C46" s="135"/>
      <c r="D46" s="135"/>
      <c r="E46" s="135"/>
      <c r="F46" s="135"/>
      <c r="G46" s="135"/>
      <c r="J46" s="134"/>
    </row>
    <row r="47" ht="30" customHeight="1" spans="1:10" s="100" customFormat="1" x14ac:dyDescent="0.25">
      <c r="A47" s="135" t="s">
        <v>104</v>
      </c>
      <c r="B47" s="135"/>
      <c r="C47" s="135"/>
      <c r="D47" s="135"/>
      <c r="E47" s="135"/>
      <c r="F47" s="135"/>
      <c r="G47" s="135"/>
      <c r="J47" s="134"/>
    </row>
    <row r="48" ht="46.5" customHeight="1" spans="1:14" s="136" customFormat="1" x14ac:dyDescent="0.25">
      <c r="A48" s="143" t="s">
        <v>105</v>
      </c>
      <c r="B48" s="143"/>
      <c r="C48" s="143"/>
      <c r="D48" s="143"/>
      <c r="E48" s="143"/>
      <c r="F48" s="143"/>
      <c r="G48" s="143"/>
      <c r="M48" s="137"/>
      <c r="N48" s="137"/>
    </row>
    <row r="49" ht="19.5" customHeight="1" spans="1:14" s="136" customFormat="1" x14ac:dyDescent="0.25">
      <c r="A49" s="89"/>
      <c r="C49" s="89"/>
      <c r="D49" s="89"/>
      <c r="G49" s="89"/>
      <c r="M49" s="137"/>
      <c r="N49" s="137"/>
    </row>
    <row r="50" ht="19.5" customHeight="1" spans="1:14" s="136" customFormat="1" x14ac:dyDescent="0.25">
      <c r="A50" s="135" t="s">
        <v>106</v>
      </c>
      <c r="B50" s="135"/>
      <c r="C50" s="135"/>
      <c r="D50" s="135"/>
      <c r="E50" s="135"/>
      <c r="F50" s="135"/>
      <c r="G50" s="135"/>
      <c r="M50" s="137"/>
      <c r="N50" s="137"/>
    </row>
    <row r="51" ht="19.5" customHeight="1" spans="1:14" s="136" customFormat="1" x14ac:dyDescent="0.25">
      <c r="A51" s="144" t="s">
        <v>107</v>
      </c>
      <c r="B51" s="144"/>
      <c r="C51" s="144"/>
      <c r="D51" s="144"/>
      <c r="E51" s="144" t="s">
        <v>108</v>
      </c>
      <c r="F51" s="144"/>
      <c r="G51" s="144"/>
      <c r="M51" s="137"/>
      <c r="N51" s="137"/>
    </row>
    <row r="52" ht="19.5" customHeight="1" spans="1:14" s="136" customFormat="1" x14ac:dyDescent="0.25">
      <c r="A52" s="89" t="str">
        <f>B4</f>
        <v>CHONGQING ALUSTARS INTERNATIONAL CO.,LTD.</v>
      </c>
      <c r="B52" s="89"/>
      <c r="C52" s="89"/>
      <c r="E52" s="89" t="str">
        <f>B7</f>
        <v>Montesa Honda, S.A.U.</v>
      </c>
      <c r="F52" s="145"/>
      <c r="G52" s="146"/>
      <c r="M52" s="137"/>
      <c r="N52" s="137"/>
    </row>
    <row r="53" spans="1:7" x14ac:dyDescent="0.25">
      <c r="A53" s="89" t="s">
        <v>109</v>
      </c>
      <c r="C53" s="147"/>
      <c r="D53" s="80"/>
      <c r="E53" s="89" t="s">
        <v>109</v>
      </c>
      <c r="G53" s="148"/>
    </row>
    <row r="54" spans="1:5" x14ac:dyDescent="0.25">
      <c r="A54" s="89" t="s">
        <v>110</v>
      </c>
      <c r="E54" s="89" t="s">
        <v>110</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3"/>
  <sheetViews>
    <sheetView workbookViewId="0" zoomScale="100" zoomScaleNormal="115" view="pageBreakPreview">
      <selection activeCell="J10" sqref="J10"/>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6</v>
      </c>
      <c r="H3" s="11" t="s">
        <v>7</v>
      </c>
      <c r="N3" s="17"/>
      <c r="O3" s="17"/>
    </row>
    <row r="4" ht="21.9" customHeight="1" spans="1:17" s="14" customFormat="1" x14ac:dyDescent="0.25">
      <c r="A4" s="18" t="s">
        <v>8</v>
      </c>
      <c r="B4" s="16"/>
      <c r="C4" s="14"/>
      <c r="D4" s="17"/>
      <c r="E4" s="17"/>
      <c r="F4" s="11" t="s">
        <v>9</v>
      </c>
      <c r="G4" s="11" t="s">
        <v>10</v>
      </c>
      <c r="H4" s="11"/>
      <c r="J4" s="19"/>
      <c r="K4" s="20"/>
      <c r="L4" s="19"/>
      <c r="M4" s="21"/>
      <c r="N4" s="22"/>
      <c r="O4" s="22"/>
      <c r="P4" s="22"/>
      <c r="Q4" s="22"/>
    </row>
    <row r="5" ht="21.75" customHeight="1" spans="1:17" s="14" customFormat="1" x14ac:dyDescent="0.25">
      <c r="A5" s="23"/>
      <c r="B5" s="24"/>
      <c r="C5" s="25"/>
      <c r="D5" s="26"/>
      <c r="E5" s="26"/>
      <c r="F5" s="27" t="s">
        <v>11</v>
      </c>
      <c r="G5" s="27" t="s">
        <v>12</v>
      </c>
      <c r="H5" s="27"/>
      <c r="J5" s="19"/>
      <c r="K5" s="20"/>
      <c r="L5" s="19"/>
      <c r="M5" s="21"/>
      <c r="N5" s="22"/>
      <c r="O5" s="22"/>
      <c r="P5" s="22"/>
      <c r="Q5" s="22"/>
    </row>
    <row r="6" ht="20.1" customHeight="1" spans="1:18" s="21" customFormat="1" x14ac:dyDescent="0.25">
      <c r="A6" s="28" t="s">
        <v>13</v>
      </c>
      <c r="B6" s="21" t="s">
        <v>14</v>
      </c>
      <c r="C6" s="29"/>
      <c r="D6" s="29"/>
      <c r="E6" s="29"/>
      <c r="F6" s="30"/>
      <c r="G6" s="31"/>
      <c r="H6" s="31"/>
      <c r="I6" s="32"/>
      <c r="J6" s="33"/>
      <c r="K6" s="33"/>
      <c r="L6" s="33"/>
      <c r="M6" s="33"/>
      <c r="N6" s="33"/>
      <c r="O6" s="33"/>
      <c r="P6" s="34"/>
      <c r="Q6" s="33"/>
      <c r="R6" s="33"/>
    </row>
    <row r="7" ht="20.1" customHeight="1" spans="1:18" s="21" customFormat="1" x14ac:dyDescent="0.25">
      <c r="A7" s="35" t="s">
        <v>15</v>
      </c>
      <c r="B7" s="36" t="s">
        <v>16</v>
      </c>
      <c r="C7" s="36"/>
      <c r="D7" s="36"/>
      <c r="E7" s="36"/>
      <c r="F7" s="37"/>
      <c r="G7" s="37"/>
      <c r="H7" s="37"/>
      <c r="I7" s="22"/>
      <c r="J7" s="38"/>
      <c r="K7" s="22"/>
      <c r="L7" s="38"/>
      <c r="M7" s="22"/>
      <c r="N7" s="38"/>
      <c r="O7" s="22"/>
      <c r="P7" s="39"/>
      <c r="Q7" s="40"/>
      <c r="R7" s="38"/>
    </row>
    <row r="8" ht="20.1" customHeight="1" spans="1:18" s="21" customFormat="1" x14ac:dyDescent="0.25">
      <c r="A8" s="35" t="s">
        <v>17</v>
      </c>
      <c r="B8" s="36" t="s">
        <v>18</v>
      </c>
      <c r="C8" s="36"/>
      <c r="D8" s="36"/>
      <c r="E8" s="36"/>
      <c r="F8" s="37"/>
      <c r="G8" s="37"/>
      <c r="H8" s="37"/>
      <c r="I8" s="19"/>
      <c r="J8" s="19"/>
      <c r="K8" s="19"/>
      <c r="L8" s="38"/>
      <c r="M8" s="22"/>
      <c r="N8" s="38"/>
      <c r="O8" s="22"/>
      <c r="P8" s="39"/>
      <c r="Q8" s="40"/>
      <c r="R8" s="38"/>
    </row>
    <row r="9" ht="23.25" customHeight="1" spans="1:19" s="14" customFormat="1" x14ac:dyDescent="0.25">
      <c r="A9" s="41" t="s">
        <v>7</v>
      </c>
      <c r="B9" s="41"/>
      <c r="C9" s="41"/>
      <c r="D9" s="41"/>
      <c r="E9" s="41"/>
      <c r="F9" s="41"/>
      <c r="G9" s="41"/>
      <c r="H9" s="41"/>
      <c r="I9" s="17"/>
      <c r="J9" s="17"/>
      <c r="K9" s="17"/>
      <c r="L9" s="42"/>
      <c r="M9" s="42"/>
      <c r="N9" s="42"/>
      <c r="O9" s="42"/>
      <c r="P9" s="42"/>
      <c r="Q9" s="42"/>
      <c r="R9" s="42"/>
      <c r="S9" s="42"/>
    </row>
    <row r="10" ht="26.25" customHeight="1" spans="1:19" s="43" customFormat="1" x14ac:dyDescent="0.25">
      <c r="A10" s="44" t="s">
        <v>19</v>
      </c>
      <c r="B10" s="45" t="s">
        <v>20</v>
      </c>
      <c r="C10" s="45"/>
      <c r="D10" s="44" t="s">
        <v>21</v>
      </c>
      <c r="E10" s="44" t="s">
        <v>22</v>
      </c>
      <c r="F10" s="44" t="s">
        <v>23</v>
      </c>
      <c r="G10" s="44" t="s">
        <v>24</v>
      </c>
      <c r="H10" s="44" t="s">
        <v>25</v>
      </c>
      <c r="L10" s="42"/>
      <c r="M10" s="42"/>
      <c r="N10" s="42"/>
      <c r="O10" s="42"/>
      <c r="P10" s="42"/>
      <c r="Q10" s="42"/>
      <c r="R10" s="42"/>
      <c r="S10" s="42"/>
    </row>
    <row r="11" ht="28.5" customHeight="1" spans="1:17" s="14" customFormat="1" x14ac:dyDescent="0.25">
      <c r="A11" s="19">
        <v>1</v>
      </c>
      <c r="B11" s="46" t="s">
        <v>26</v>
      </c>
      <c r="C11" s="46"/>
      <c r="D11" s="37" t="s">
        <v>27</v>
      </c>
      <c r="E11" s="47">
        <v>250</v>
      </c>
      <c r="F11" s="47" t="s">
        <v>28</v>
      </c>
      <c r="G11" s="48">
        <v>14.3</v>
      </c>
      <c r="H11" s="49">
        <v>3575</v>
      </c>
      <c r="I11" s="14"/>
      <c r="J11" s="14"/>
      <c r="K11" s="50"/>
      <c r="L11" s="14"/>
      <c r="M11" s="14"/>
      <c r="N11" s="17"/>
      <c r="O11" s="17"/>
      <c r="P11" s="11"/>
      <c r="Q11" s="11"/>
    </row>
    <row r="12" ht="28.5" customHeight="1" spans="1:17" s="14" customFormat="1" x14ac:dyDescent="0.25">
      <c r="A12" s="19">
        <v>1</v>
      </c>
      <c r="B12" s="46" t="s">
        <v>26</v>
      </c>
      <c r="C12" s="46" t="s">
        <v>26</v>
      </c>
      <c r="D12" s="37" t="s">
        <v>27</v>
      </c>
      <c r="E12" s="47">
        <v>250</v>
      </c>
      <c r="F12" s="47" t="s">
        <v>28</v>
      </c>
      <c r="G12" s="48">
        <v>14.3</v>
      </c>
      <c r="H12" s="49">
        <v>3575</v>
      </c>
      <c r="I12" s="14"/>
      <c r="J12" s="14"/>
      <c r="K12" s="50"/>
      <c r="L12" s="14"/>
      <c r="M12" s="14"/>
      <c r="N12" s="17"/>
      <c r="O12" s="17"/>
      <c r="P12" s="11"/>
      <c r="Q12" s="11"/>
    </row>
    <row r="13" ht="28.5" customHeight="1" spans="1:17" s="14" customFormat="1" x14ac:dyDescent="0.25">
      <c r="A13" s="19">
        <v>1</v>
      </c>
      <c r="B13" s="46" t="s">
        <v>26</v>
      </c>
      <c r="C13" s="46" t="s">
        <v>26</v>
      </c>
      <c r="D13" s="37" t="s">
        <v>27</v>
      </c>
      <c r="E13" s="47">
        <v>250</v>
      </c>
      <c r="F13" s="47" t="s">
        <v>28</v>
      </c>
      <c r="G13" s="48">
        <v>14.3</v>
      </c>
      <c r="H13" s="49">
        <v>3575</v>
      </c>
      <c r="I13" s="14"/>
      <c r="J13" s="14"/>
      <c r="K13" s="50"/>
      <c r="L13" s="14"/>
      <c r="M13" s="14"/>
      <c r="N13" s="17"/>
      <c r="O13" s="17"/>
      <c r="P13" s="11"/>
      <c r="Q13" s="11"/>
    </row>
    <row r="14" ht="28.5" customHeight="1" spans="1:17" s="14" customFormat="1" x14ac:dyDescent="0.25">
      <c r="A14" s="19">
        <v>1</v>
      </c>
      <c r="B14" s="46" t="s">
        <v>26</v>
      </c>
      <c r="C14" s="46" t="s">
        <v>26</v>
      </c>
      <c r="D14" s="37" t="s">
        <v>27</v>
      </c>
      <c r="E14" s="47">
        <v>250</v>
      </c>
      <c r="F14" s="47" t="s">
        <v>28</v>
      </c>
      <c r="G14" s="48">
        <v>14.3</v>
      </c>
      <c r="H14" s="49">
        <v>3575</v>
      </c>
      <c r="I14" s="14"/>
      <c r="J14" s="14"/>
      <c r="K14" s="50"/>
      <c r="L14" s="14"/>
      <c r="M14" s="14"/>
      <c r="N14" s="17"/>
      <c r="O14" s="17"/>
      <c r="P14" s="11"/>
      <c r="Q14" s="11"/>
    </row>
    <row r="15" ht="28.5" customHeight="1" spans="1:17" s="14" customFormat="1" x14ac:dyDescent="0.25">
      <c r="A15" s="19">
        <v>1</v>
      </c>
      <c r="B15" s="46" t="s">
        <v>26</v>
      </c>
      <c r="C15" s="46" t="s">
        <v>26</v>
      </c>
      <c r="D15" s="37" t="s">
        <v>27</v>
      </c>
      <c r="E15" s="47">
        <v>250</v>
      </c>
      <c r="F15" s="47" t="s">
        <v>28</v>
      </c>
      <c r="G15" s="48">
        <v>14.3</v>
      </c>
      <c r="H15" s="49">
        <v>3575</v>
      </c>
      <c r="I15" s="14"/>
      <c r="J15" s="14"/>
      <c r="K15" s="50"/>
      <c r="L15" s="14"/>
      <c r="M15" s="14"/>
      <c r="N15" s="17"/>
      <c r="O15" s="17"/>
      <c r="P15" s="11"/>
      <c r="Q15" s="11"/>
    </row>
    <row r="16" ht="28.5" customHeight="1" spans="1:17" s="14" customFormat="1" x14ac:dyDescent="0.25">
      <c r="A16" s="19">
        <v>1</v>
      </c>
      <c r="B16" s="46" t="s">
        <v>26</v>
      </c>
      <c r="C16" s="46" t="s">
        <v>26</v>
      </c>
      <c r="D16" s="37" t="s">
        <v>27</v>
      </c>
      <c r="E16" s="47">
        <v>250</v>
      </c>
      <c r="F16" s="47" t="s">
        <v>28</v>
      </c>
      <c r="G16" s="48">
        <v>14.3</v>
      </c>
      <c r="H16" s="49">
        <v>3575</v>
      </c>
      <c r="I16" s="14"/>
      <c r="J16" s="14"/>
      <c r="K16" s="50"/>
      <c r="L16" s="14"/>
      <c r="M16" s="14"/>
      <c r="N16" s="17"/>
      <c r="O16" s="17"/>
      <c r="P16" s="11"/>
      <c r="Q16" s="11"/>
    </row>
    <row r="17" ht="23.1" customHeight="1" spans="1:17" s="14" customFormat="1" x14ac:dyDescent="0.25">
      <c r="A17" s="19"/>
      <c r="B17" s="51"/>
      <c r="C17" s="51"/>
      <c r="D17" s="37"/>
      <c r="E17" s="47"/>
      <c r="F17" s="47"/>
      <c r="G17" s="48"/>
      <c r="H17" s="49"/>
      <c r="I17" s="14"/>
      <c r="J17" s="14"/>
      <c r="K17" s="50"/>
      <c r="L17" s="14"/>
      <c r="M17" s="14"/>
      <c r="N17" s="17"/>
      <c r="O17" s="17"/>
      <c r="P17" s="11"/>
      <c r="Q17" s="11"/>
    </row>
    <row r="18" ht="23.1" customHeight="1" spans="1:17" s="14" customFormat="1" x14ac:dyDescent="0.25">
      <c r="A18" s="19"/>
      <c r="B18" s="51"/>
      <c r="C18" s="51"/>
      <c r="D18" s="37"/>
      <c r="E18" s="37"/>
      <c r="F18" s="47"/>
      <c r="G18" s="49"/>
      <c r="H18" s="49"/>
      <c r="I18" s="14"/>
      <c r="J18" s="14"/>
      <c r="K18" s="50"/>
      <c r="L18" s="14"/>
      <c r="M18" s="14"/>
      <c r="N18" s="17"/>
      <c r="O18" s="17"/>
      <c r="P18" s="11"/>
      <c r="Q18" s="11"/>
    </row>
    <row r="19" ht="23.1" customHeight="1" spans="1:19" s="14" customFormat="1" x14ac:dyDescent="0.25">
      <c r="A19" s="52"/>
      <c r="B19" s="53"/>
      <c r="C19" s="53"/>
      <c r="D19" s="54"/>
      <c r="E19" s="54"/>
      <c r="F19" s="55"/>
      <c r="G19" s="56"/>
      <c r="H19" s="56"/>
      <c r="I19" s="14"/>
      <c r="J19" s="14"/>
      <c r="K19" s="50"/>
      <c r="L19" s="17"/>
      <c r="M19" s="17"/>
      <c r="N19" s="17"/>
      <c r="O19" s="17"/>
      <c r="P19" s="17"/>
      <c r="Q19" s="17"/>
      <c r="R19" s="17"/>
      <c r="S19" s="17"/>
    </row>
    <row r="20" ht="16.5" customHeight="1" spans="1:9" s="17" customFormat="1" x14ac:dyDescent="0.25">
      <c r="A20" s="57" t="s">
        <v>7</v>
      </c>
      <c r="B20" s="57"/>
      <c r="C20" s="57"/>
      <c r="D20" s="57"/>
      <c r="E20" s="57"/>
      <c r="F20" s="58" t="s">
        <v>7</v>
      </c>
      <c r="G20" s="59" t="s">
        <v>29</v>
      </c>
      <c r="H20" s="60">
        <f>SUM(H11:H14)</f>
        <v>3575</v>
      </c>
      <c r="I20" s="61"/>
    </row>
    <row r="21" ht="13.5" customHeight="1" spans="1:8" s="17" customFormat="1" x14ac:dyDescent="0.25">
      <c r="A21" s="62"/>
      <c r="B21" s="62"/>
      <c r="C21" s="62"/>
      <c r="D21" s="57"/>
      <c r="E21" s="57"/>
      <c r="F21" s="62"/>
      <c r="G21" s="62"/>
      <c r="H21" s="63"/>
    </row>
    <row r="22" ht="30" customHeight="1" spans="1:11" s="17" customFormat="1" x14ac:dyDescent="0.25">
      <c r="A22" s="64" t="s">
        <v>30</v>
      </c>
      <c r="B22" s="64"/>
      <c r="C22" s="64"/>
      <c r="D22" s="64"/>
      <c r="E22" s="64"/>
      <c r="F22" s="64"/>
      <c r="G22" s="64"/>
      <c r="H22" s="64"/>
      <c r="I22" s="17"/>
      <c r="J22" s="17"/>
      <c r="K22" s="65"/>
    </row>
    <row r="23" ht="20.1" customHeight="1" spans="1:11" s="17" customFormat="1" x14ac:dyDescent="0.25">
      <c r="A23" s="62" t="s">
        <v>31</v>
      </c>
      <c r="B23" s="62"/>
      <c r="C23" s="62" t="s">
        <v>32</v>
      </c>
      <c r="D23" s="62"/>
      <c r="E23" s="62"/>
      <c r="F23" s="62"/>
      <c r="G23" s="62"/>
      <c r="H23" s="63"/>
      <c r="I23" s="17"/>
      <c r="J23" s="17"/>
      <c r="K23" s="65"/>
    </row>
    <row r="24" ht="20.1" customHeight="1" spans="1:11" s="17" customFormat="1" x14ac:dyDescent="0.25">
      <c r="A24" s="62" t="s">
        <v>33</v>
      </c>
      <c r="B24" s="62"/>
      <c r="C24" s="62" t="s">
        <v>34</v>
      </c>
      <c r="D24" s="62"/>
      <c r="E24" s="62"/>
      <c r="F24" s="62"/>
      <c r="G24" s="62"/>
      <c r="H24" s="63"/>
      <c r="I24" s="17"/>
      <c r="J24" s="17"/>
      <c r="K24" s="65"/>
    </row>
    <row r="25" ht="20.1" customHeight="1" spans="1:11" s="17" customFormat="1" x14ac:dyDescent="0.25">
      <c r="A25" s="62" t="s">
        <v>35</v>
      </c>
      <c r="B25" s="62"/>
      <c r="C25" s="62" t="s">
        <v>36</v>
      </c>
      <c r="D25" s="62"/>
      <c r="E25" s="62"/>
      <c r="F25" s="62"/>
      <c r="G25" s="62"/>
      <c r="H25" s="63"/>
      <c r="I25" s="17"/>
      <c r="J25" s="17"/>
      <c r="K25" s="65"/>
    </row>
    <row r="26" ht="20.1" customHeight="1" spans="1:7" s="63" customFormat="1" x14ac:dyDescent="0.25">
      <c r="A26" s="62" t="s">
        <v>37</v>
      </c>
      <c r="B26" s="62"/>
      <c r="C26" s="62" t="s">
        <v>38</v>
      </c>
      <c r="D26" s="62"/>
      <c r="E26" s="62"/>
      <c r="F26" s="62"/>
      <c r="G26" s="62"/>
    </row>
    <row r="27" ht="20.1" customHeight="1" spans="1:7" s="63" customFormat="1" x14ac:dyDescent="0.25">
      <c r="A27" s="62" t="s">
        <v>39</v>
      </c>
      <c r="B27" s="62"/>
      <c r="C27" s="62" t="s">
        <v>40</v>
      </c>
      <c r="D27" s="62"/>
      <c r="E27" s="62"/>
      <c r="F27" s="62"/>
      <c r="G27" s="62"/>
    </row>
    <row r="28" ht="20.1" customHeight="1" spans="1:7" s="63" customFormat="1" x14ac:dyDescent="0.25">
      <c r="A28" s="62" t="s">
        <v>41</v>
      </c>
      <c r="B28" s="62"/>
      <c r="C28" s="62" t="s">
        <v>42</v>
      </c>
      <c r="D28" s="62"/>
      <c r="E28" s="62"/>
      <c r="F28" s="62"/>
      <c r="G28" s="62"/>
    </row>
    <row r="29" ht="20.1" customHeight="1" spans="1:7" s="63" customFormat="1" x14ac:dyDescent="0.25">
      <c r="A29" s="62" t="s">
        <v>43</v>
      </c>
      <c r="B29" s="62"/>
      <c r="C29" s="62" t="s">
        <v>44</v>
      </c>
      <c r="D29" s="62"/>
      <c r="E29" s="62"/>
      <c r="F29" s="62"/>
      <c r="G29" s="62"/>
    </row>
    <row r="30" ht="20.1" customHeight="1" spans="1:7" s="63" customFormat="1" x14ac:dyDescent="0.25">
      <c r="A30" s="62" t="s">
        <v>45</v>
      </c>
      <c r="B30" s="62"/>
      <c r="C30" s="62" t="s">
        <v>46</v>
      </c>
      <c r="D30" s="62"/>
      <c r="E30" s="62"/>
      <c r="F30" s="62"/>
      <c r="G30" s="62"/>
    </row>
    <row r="31" ht="20.1" customHeight="1" spans="1:11" s="17" customFormat="1" x14ac:dyDescent="0.25">
      <c r="A31" s="37"/>
      <c r="B31" s="37"/>
      <c r="C31" s="37"/>
      <c r="D31" s="37"/>
      <c r="E31" s="37"/>
      <c r="F31" s="66"/>
      <c r="G31" s="66"/>
      <c r="H31" s="66"/>
      <c r="I31" s="17"/>
      <c r="J31" s="17"/>
      <c r="K31" s="65"/>
    </row>
    <row r="32" ht="31.5" customHeight="1" spans="1:11" s="17" customFormat="1" x14ac:dyDescent="0.25">
      <c r="A32" s="67" t="s">
        <v>47</v>
      </c>
      <c r="B32" s="67"/>
      <c r="C32" s="67"/>
      <c r="D32" s="67"/>
      <c r="E32" s="67"/>
      <c r="F32" s="67"/>
      <c r="G32" s="67"/>
      <c r="H32" s="67"/>
      <c r="I32" s="17"/>
      <c r="J32" s="17"/>
      <c r="K32" s="65"/>
    </row>
    <row r="33" ht="20.1" customHeight="1" spans="1:11" s="33" customFormat="1" x14ac:dyDescent="0.25">
      <c r="A33" s="68" t="s">
        <v>48</v>
      </c>
      <c r="B33" s="68"/>
      <c r="C33" s="68"/>
      <c r="D33" s="68"/>
      <c r="E33" s="68"/>
      <c r="F33" s="69"/>
      <c r="G33" s="69"/>
      <c r="H33" s="69"/>
      <c r="I33" s="33"/>
      <c r="J33" s="33"/>
      <c r="K33" s="70"/>
    </row>
    <row r="34" ht="27" customHeight="1" spans="1:19" s="17" customFormat="1" x14ac:dyDescent="0.25">
      <c r="A34" s="37"/>
      <c r="B34" s="37"/>
      <c r="C34" s="37"/>
      <c r="D34" s="37"/>
      <c r="E34" s="37"/>
      <c r="F34" s="66"/>
      <c r="G34" s="66"/>
      <c r="H34" s="66"/>
      <c r="I34" s="17"/>
      <c r="J34" s="17"/>
      <c r="K34" s="65"/>
      <c r="L34" s="71"/>
      <c r="M34" s="71"/>
      <c r="N34" s="72"/>
      <c r="O34" s="72"/>
      <c r="P34" s="71"/>
      <c r="Q34" s="71"/>
      <c r="R34" s="71"/>
      <c r="S34" s="71"/>
    </row>
    <row r="35" ht="19.5" customHeight="1" spans="1:15" s="71" customFormat="1" x14ac:dyDescent="0.25">
      <c r="A35" s="73" t="s">
        <v>49</v>
      </c>
      <c r="B35" s="73"/>
      <c r="C35" s="73"/>
      <c r="D35" s="73"/>
      <c r="E35" s="73"/>
      <c r="F35" s="73"/>
      <c r="G35" s="73"/>
      <c r="H35" s="73"/>
      <c r="I35" s="71"/>
      <c r="J35" s="71"/>
      <c r="K35" s="71"/>
      <c r="L35" s="71"/>
      <c r="M35" s="71"/>
      <c r="N35" s="72"/>
      <c r="O35" s="72"/>
    </row>
    <row r="36" ht="53.25" customHeight="1" spans="1:15" s="71" customFormat="1" x14ac:dyDescent="0.25">
      <c r="A36" s="74" t="s">
        <v>50</v>
      </c>
      <c r="B36" s="74"/>
      <c r="C36" s="74"/>
      <c r="D36" s="74"/>
      <c r="E36" s="74"/>
      <c r="F36" s="74"/>
      <c r="G36" s="74"/>
      <c r="H36" s="74"/>
      <c r="I36" s="71"/>
      <c r="J36" s="71"/>
      <c r="K36" s="71"/>
      <c r="L36" s="71"/>
      <c r="M36" s="71"/>
      <c r="N36" s="72"/>
      <c r="O36" s="72"/>
    </row>
    <row r="37" ht="24" customHeight="1" spans="1:15" s="71" customFormat="1" x14ac:dyDescent="0.25">
      <c r="A37" s="75"/>
      <c r="B37" s="75"/>
      <c r="C37" s="75"/>
      <c r="D37" s="75"/>
      <c r="E37" s="75"/>
      <c r="F37" s="75"/>
      <c r="G37" s="75"/>
      <c r="H37" s="75"/>
      <c r="I37" s="71"/>
      <c r="J37" s="71"/>
      <c r="K37" s="71"/>
      <c r="L37" s="71"/>
      <c r="M37" s="71"/>
      <c r="N37" s="72"/>
      <c r="O37" s="72"/>
    </row>
    <row r="38" ht="19.5" customHeight="1" spans="1:19" s="71" customFormat="1" x14ac:dyDescent="0.25">
      <c r="A38" s="76" t="s">
        <v>51</v>
      </c>
      <c r="B38" s="76"/>
      <c r="C38" s="76"/>
      <c r="D38" s="76"/>
      <c r="E38" s="76" t="s">
        <v>52</v>
      </c>
      <c r="F38" s="76"/>
      <c r="G38" s="76"/>
      <c r="H38" s="76"/>
      <c r="I38" s="71"/>
      <c r="J38" s="71"/>
      <c r="K38" s="71"/>
      <c r="L38" s="2"/>
      <c r="M38" s="2"/>
      <c r="N38" s="5"/>
      <c r="O38" s="5"/>
      <c r="P38" s="2"/>
      <c r="Q38" s="2"/>
      <c r="R38" s="2"/>
      <c r="S38" s="2"/>
    </row>
    <row r="39" spans="1:8" x14ac:dyDescent="0.25">
      <c r="A39" s="77" t="s">
        <v>53</v>
      </c>
      <c r="B39" s="2"/>
      <c r="C39" s="6"/>
      <c r="D39" s="2"/>
      <c r="E39" s="77" t="s">
        <v>54</v>
      </c>
      <c r="F39" s="77"/>
      <c r="G39" s="77"/>
      <c r="H39" s="77"/>
    </row>
    <row r="40" spans="1:8" x14ac:dyDescent="0.25">
      <c r="A40" s="77" t="s">
        <v>55</v>
      </c>
      <c r="B40" s="77"/>
      <c r="C40" s="77"/>
      <c r="D40" s="77"/>
      <c r="E40" s="77" t="s">
        <v>56</v>
      </c>
      <c r="F40" s="77"/>
      <c r="G40" s="77"/>
      <c r="H40" s="77"/>
    </row>
    <row r="41" spans="1:8" x14ac:dyDescent="0.25">
      <c r="A41" s="77" t="s">
        <v>57</v>
      </c>
      <c r="B41" s="77"/>
      <c r="C41" s="77"/>
      <c r="D41" s="77"/>
      <c r="E41" s="77" t="s">
        <v>58</v>
      </c>
      <c r="F41" s="77"/>
      <c r="G41" s="77"/>
      <c r="H41" s="77"/>
    </row>
    <row r="42" spans="1:8" x14ac:dyDescent="0.25">
      <c r="A42" s="6"/>
      <c r="B42" s="2"/>
      <c r="C42" s="2"/>
      <c r="D42" s="2"/>
      <c r="E42" s="2"/>
      <c r="F42" s="6"/>
      <c r="G42" s="3"/>
      <c r="H42" s="78"/>
    </row>
    <row r="43" spans="1:1" x14ac:dyDescent="0.25">
      <c r="A43" s="12"/>
    </row>
  </sheetData>
  <mergeCells count="43">
    <mergeCell ref="F1:H1"/>
    <mergeCell ref="B7:D7"/>
    <mergeCell ref="F7:H8"/>
    <mergeCell ref="B8:D8"/>
    <mergeCell ref="A9:H9"/>
    <mergeCell ref="L9:S10"/>
    <mergeCell ref="B10:C10"/>
    <mergeCell ref="B11:C11"/>
    <mergeCell ref="B17:C17"/>
    <mergeCell ref="B18:C18"/>
    <mergeCell ref="B19:C19"/>
    <mergeCell ref="A20:C21"/>
    <mergeCell ref="F20:F21"/>
    <mergeCell ref="G20:G21"/>
    <mergeCell ref="H20:H21"/>
    <mergeCell ref="A22:H22"/>
    <mergeCell ref="A23:B23"/>
    <mergeCell ref="C23:G23"/>
    <mergeCell ref="A24:B24"/>
    <mergeCell ref="C24:G24"/>
    <mergeCell ref="A25:B25"/>
    <mergeCell ref="C25:G25"/>
    <mergeCell ref="A26:B26"/>
    <mergeCell ref="C26:G26"/>
    <mergeCell ref="A27:B27"/>
    <mergeCell ref="C27:G27"/>
    <mergeCell ref="A28:B28"/>
    <mergeCell ref="C28:G28"/>
    <mergeCell ref="A29:B29"/>
    <mergeCell ref="C29:G29"/>
    <mergeCell ref="A30:B30"/>
    <mergeCell ref="C30:G30"/>
    <mergeCell ref="A32:H32"/>
    <mergeCell ref="A33:E33"/>
    <mergeCell ref="A35:H35"/>
    <mergeCell ref="A36:H36"/>
    <mergeCell ref="A38:D38"/>
    <mergeCell ref="E38:H38"/>
    <mergeCell ref="E39:H39"/>
    <mergeCell ref="A40:D40"/>
    <mergeCell ref="E40:H40"/>
    <mergeCell ref="A41:D41"/>
    <mergeCell ref="E41:H41"/>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2026-04-30T16:11:37Z</dcterms:modified>
</cp:coreProperties>
</file>